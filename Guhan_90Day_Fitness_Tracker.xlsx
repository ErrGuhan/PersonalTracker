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Tracker" sheetId="2" state="visible" r:id="rId4"/>
    <sheet name="Weekly Review" sheetId="3" state="visible" r:id="rId5"/>
    <sheet name="Monthly Checkpoints" sheetId="4" state="visible" r:id="rId6"/>
    <sheet name="Bad Day Guide" sheetId="5" state="visible" r:id="rId7"/>
    <sheet name="Daily Expenses" sheetId="6" state="visible" r:id="rId8"/>
    <sheet name="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<sst xmlns="http://schemas.openxmlformats.org/spreadsheetml/2006/main" count="243" uniqueCount="140">
  <si>
    <t xml:space="preserve">🏋️ GUHAN'S 90-DAY FITNESS &amp; LIFE TRACKER</t>
  </si>
  <si>
    <t xml:space="preserve">Program: Oct 1, 2026 -&gt; Dec 30, 2026 | Fat Loss + Fitness + Posture + Flexibility | Daily Checklist + Expenses</t>
  </si>
  <si>
    <t xml:space="preserve">Program Day</t>
  </si>
  <si>
    <t xml:space="preserve">Workouts Completed</t>
  </si>
  <si>
    <t xml:space="preserve">This Week's Workouts</t>
  </si>
  <si>
    <t xml:space="preserve">Avg Sleep (hrs)</t>
  </si>
  <si>
    <t xml:space="preserve">BODY MEASUREMENTS - QUICK COMPARE</t>
  </si>
  <si>
    <t xml:space="preserve">Metric</t>
  </si>
  <si>
    <t xml:space="preserve">Day 1 (Baseline)</t>
  </si>
  <si>
    <t xml:space="preserve">Latest</t>
  </si>
  <si>
    <t xml:space="preserve">Change</t>
  </si>
  <si>
    <t xml:space="preserve">Goal</t>
  </si>
  <si>
    <t xml:space="preserve">Weight (kg)</t>
  </si>
  <si>
    <t xml:space="preserve">Chest (cm)</t>
  </si>
  <si>
    <t xml:space="preserve">Waist (cm)</t>
  </si>
  <si>
    <t xml:space="preserve">Hip (cm)</t>
  </si>
  <si>
    <t xml:space="preserve">Push-ups (max)</t>
  </si>
  <si>
    <t xml:space="preserve">Pull-ups (max)</t>
  </si>
  <si>
    <t xml:space="preserve">Squats (max)</t>
  </si>
  <si>
    <t xml:space="preserve">Program Start Date -&gt;</t>
  </si>
  <si>
    <t xml:space="preserve">Legend: Yellow cells = fill in yourself. Colored KPI cards = auto-calculated from the Daily Tracker sheet.</t>
  </si>
  <si>
    <t xml:space="preserve">WEIGHT TREND</t>
  </si>
  <si>
    <t xml:space="preserve">WEEKLY WORKOUT CONSISTENCY</t>
  </si>
  <si>
    <t xml:space="preserve">Date</t>
  </si>
  <si>
    <t xml:space="preserve">Day #</t>
  </si>
  <si>
    <t xml:space="preserve">Phase</t>
  </si>
  <si>
    <t xml:space="preserve">Workout Completed</t>
  </si>
  <si>
    <t xml:space="preserve">Workout Type</t>
  </si>
  <si>
    <t xml:space="preserve">Steps</t>
  </si>
  <si>
    <t xml:space="preserve">Sleep (hrs)</t>
  </si>
  <si>
    <t xml:space="preserve">Water (L)</t>
  </si>
  <si>
    <t xml:space="preserve">Energy (1-5)</t>
  </si>
  <si>
    <t xml:space="preserve">Mood (1-5)</t>
  </si>
  <si>
    <t xml:space="preserve">Difficulty/RPE (1-10)</t>
  </si>
  <si>
    <t xml:space="preserve">Morning Mobility</t>
  </si>
  <si>
    <t xml:space="preserve">Night Stretch</t>
  </si>
  <si>
    <t xml:space="preserve">Day Complete?</t>
  </si>
  <si>
    <t xml:space="preserve">Notes</t>
  </si>
  <si>
    <t xml:space="preserve">Foundation</t>
  </si>
  <si>
    <t xml:space="preserve">Progression</t>
  </si>
  <si>
    <t xml:space="preserve">Performance</t>
  </si>
  <si>
    <t xml:space="preserve">Week #</t>
  </si>
  <si>
    <t xml:space="preserve">Week Dates</t>
  </si>
  <si>
    <t xml:space="preserve">Avg Weight (kg)</t>
  </si>
  <si>
    <t xml:space="preserve">Workouts Completed (/4)</t>
  </si>
  <si>
    <t xml:space="preserve">Avg Steps</t>
  </si>
  <si>
    <t xml:space="preserve">Strength Improvement</t>
  </si>
  <si>
    <t xml:space="preserve">Cardio Improvement</t>
  </si>
  <si>
    <t xml:space="preserve">Sleep Quality (1-5)</t>
  </si>
  <si>
    <t xml:space="preserve">Biggest Achievement</t>
  </si>
  <si>
    <t xml:space="preserve">Biggest Difficulty</t>
  </si>
  <si>
    <t xml:space="preserve">Plan Change for Next Week</t>
  </si>
  <si>
    <t xml:space="preserve">01-Oct to 07-Oct</t>
  </si>
  <si>
    <t xml:space="preserve">08-Oct to 14-Oct</t>
  </si>
  <si>
    <t xml:space="preserve">15-Oct to 21-Oct</t>
  </si>
  <si>
    <t xml:space="preserve">22-Oct to 28-Oct</t>
  </si>
  <si>
    <t xml:space="preserve">29-Oct to 04-Nov</t>
  </si>
  <si>
    <t xml:space="preserve">05-Nov to 11-Nov</t>
  </si>
  <si>
    <t xml:space="preserve">12-Nov to 18-Nov</t>
  </si>
  <si>
    <t xml:space="preserve">19-Nov to 25-Nov</t>
  </si>
  <si>
    <t xml:space="preserve">26-Nov to 02-Dec</t>
  </si>
  <si>
    <t xml:space="preserve">03-Dec to 09-Dec</t>
  </si>
  <si>
    <t xml:space="preserve">10-Dec to 16-Dec</t>
  </si>
  <si>
    <t xml:space="preserve">17-Dec to 23-Dec</t>
  </si>
  <si>
    <t xml:space="preserve">24-Dec to 30-Dec</t>
  </si>
  <si>
    <t xml:space="preserve">MONTHLY CHECKPOINTS - Day 1 / 30 / 60 / 90</t>
  </si>
  <si>
    <t xml:space="preserve">Day 1</t>
  </si>
  <si>
    <t xml:space="preserve">Day 30</t>
  </si>
  <si>
    <t xml:space="preserve">Day 60</t>
  </si>
  <si>
    <t xml:space="preserve">Day 90</t>
  </si>
  <si>
    <t xml:space="preserve">Total Change</t>
  </si>
  <si>
    <t xml:space="preserve">BODY</t>
  </si>
  <si>
    <t xml:space="preserve">PERFORMANCE</t>
  </si>
  <si>
    <t xml:space="preserve">Plank Hold (sec)</t>
  </si>
  <si>
    <t xml:space="preserve">20-min Walk/Jog Distance (km)</t>
  </si>
  <si>
    <t xml:space="preserve">SUBJECTIVE (1-5)</t>
  </si>
  <si>
    <t xml:space="preserve">Energy</t>
  </si>
  <si>
    <t xml:space="preserve">Confidence</t>
  </si>
  <si>
    <t xml:space="preserve">Posture Comfort</t>
  </si>
  <si>
    <t xml:space="preserve">Sleep Quality</t>
  </si>
  <si>
    <t xml:space="preserve">Overall Fitness</t>
  </si>
  <si>
    <t xml:space="preserve">BAD DAY DECISION FLOW - How Are You Feeling Today?</t>
  </si>
  <si>
    <t xml:space="preserve">Good energy, on schedule</t>
  </si>
  <si>
    <t xml:space="preserve">-&gt;</t>
  </si>
  <si>
    <t xml:space="preserve">-&gt; FULL WORKOUT as planned</t>
  </si>
  <si>
    <t xml:space="preserve">Tired from study/work, but okay</t>
  </si>
  <si>
    <t xml:space="preserve">-&gt; Do the workout, drop to 2 sets instead of 3</t>
  </si>
  <si>
    <t xml:space="preserve">Very little time today</t>
  </si>
  <si>
    <t xml:space="preserve">-&gt; MINIMUM VIABLE WORKOUT (5 min: squats + incline push-ups + plank + glute bridge + superman)</t>
  </si>
  <si>
    <t xml:space="preserve">Exhausted, unwell, or back pain flares up</t>
  </si>
  <si>
    <t xml:space="preserve">-&gt; SKIP training. Gentle stretch only. Prioritize sleep. See a doctor if back pain is sharp/shooting.</t>
  </si>
  <si>
    <t xml:space="preserve">HOW TO TELL THE DIFFERENCE</t>
  </si>
  <si>
    <t xml:space="preserve">Normal muscle soreness</t>
  </si>
  <si>
    <t xml:space="preserve">Dull ache, both sides, eases after warm-up, gone in 2-3 days</t>
  </si>
  <si>
    <t xml:space="preserve">Excessive fatigue</t>
  </si>
  <si>
    <t xml:space="preserve">Whole-body heaviness, poor sleep, mood dip - reduce volume this week</t>
  </si>
  <si>
    <t xml:space="preserve">Injury/back warning sign</t>
  </si>
  <si>
    <t xml:space="preserve">Sharp, one-sided, shooting pain, numbness/tingling - STOP and consult your doctor</t>
  </si>
  <si>
    <t xml:space="preserve">DAILY EXPENSES TRACKER</t>
  </si>
  <si>
    <t xml:space="preserve">Oct 1 - Dec 30, 2026 | Log every expense below - totals and charts update automatically</t>
  </si>
  <si>
    <t xml:space="preserve">Total Spent (Rs)</t>
  </si>
  <si>
    <t xml:space="preserve">Transactions Logged</t>
  </si>
  <si>
    <t xml:space="preserve">Avg per Day (Rs)</t>
  </si>
  <si>
    <t xml:space="preserve">MONTHLY BUDGET vs ACTUAL</t>
  </si>
  <si>
    <t xml:space="preserve">CATEGORY BREAKDOWN (Full Program)</t>
  </si>
  <si>
    <t xml:space="preserve">Month</t>
  </si>
  <si>
    <t xml:space="preserve">Budget (Rs)</t>
  </si>
  <si>
    <t xml:space="preserve">Actual Spent (Rs)</t>
  </si>
  <si>
    <t xml:space="preserve">Remaining (Rs)</t>
  </si>
  <si>
    <t xml:space="preserve">% Used</t>
  </si>
  <si>
    <t xml:space="preserve">Category</t>
  </si>
  <si>
    <t xml:space="preserve">October 2026</t>
  </si>
  <si>
    <t xml:space="preserve">Food</t>
  </si>
  <si>
    <t xml:space="preserve">November 2026</t>
  </si>
  <si>
    <t xml:space="preserve">Transport</t>
  </si>
  <si>
    <t xml:space="preserve">December 2026</t>
  </si>
  <si>
    <t xml:space="preserve">College/Stationery</t>
  </si>
  <si>
    <t xml:space="preserve">Fitness/Equipment</t>
  </si>
  <si>
    <t xml:space="preserve">Mobile/Recharge</t>
  </si>
  <si>
    <t xml:space="preserve">Entertainment</t>
  </si>
  <si>
    <t xml:space="preserve">Other</t>
  </si>
  <si>
    <t xml:space="preserve">EXPENSE LOG - add a row for every expense</t>
  </si>
  <si>
    <t xml:space="preserve">Description</t>
  </si>
  <si>
    <t xml:space="preserve">Amount (Rs)</t>
  </si>
  <si>
    <t xml:space="preserve">Payment Method</t>
  </si>
  <si>
    <t xml:space="preserve">HOW TO USE THIS TRACKER</t>
  </si>
  <si>
    <t xml:space="preserve">1. Daily Tracker</t>
  </si>
  <si>
    <t xml:space="preserve">Fill in every day as a checklist: Workout Completed, Morning Mobility, Night Stretch all use dropdowns. 'Day Complete?' fills itself in once all three are set.</t>
  </si>
  <si>
    <t xml:space="preserve">2. Dashboard</t>
  </si>
  <si>
    <t xml:space="preserve">Auto-updates from Daily Tracker. Fill the yellow cells in Body Measurements yourself (baseline once, then update 'Latest' periodically).</t>
  </si>
  <si>
    <t xml:space="preserve">3. Weekly Review</t>
  </si>
  <si>
    <t xml:space="preserve">Every Sunday, fill the yellow cells based on your week. Workouts Completed auto-counts from Daily Tracker.</t>
  </si>
  <si>
    <t xml:space="preserve">4. Monthly Checkpoints</t>
  </si>
  <si>
    <t xml:space="preserve">Fill in on Day 1, 30, 60, and 90 - this is your big-picture progress proof.</t>
  </si>
  <si>
    <t xml:space="preserve">5. Bad Day Guide</t>
  </si>
  <si>
    <t xml:space="preserve">Check this anytime you're unsure whether to train hard, train light, or rest.</t>
  </si>
  <si>
    <t xml:space="preserve">6. Daily Expenses</t>
  </si>
  <si>
    <t xml:space="preserve">Log every expense as a row in the Expense Log (date, category, description, amount, payment method). Set a monthly Budget in the yellow cells - Actual, Remaining, and the charts update automatically.</t>
  </si>
  <si>
    <t xml:space="preserve">Color Key</t>
  </si>
  <si>
    <t xml:space="preserve">Yellow fill = type your own data here. Green = completed/good/under budget. Red = missed/over budget. Everything else is automatic.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</si>
</sst>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yyyy\-mm\-dd"/>
    <numFmt numFmtId="167" formatCode="ddd&quot;, &quot;dd\-mmm"/>
    <numFmt numFmtId="168" formatCode="0%"/>
    <numFmt numFmtId="169" formatCode="dd\-mmm\-yyyy"/>
    <numFmt numFmtId="170" formatCode="#,##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70AD47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20"/>
      <color rgb="FFFFC000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0"/>
      <color rgb="FF1F9999"/>
      <name val="Arial"/>
      <family val="0"/>
      <charset val="1"/>
    </font>
    <font>
      <b val="true"/>
      <sz val="16"/>
      <color rgb="FF1F9999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7F5"/>
        <bgColor rgb="FFD7F0F0"/>
      </patternFill>
    </fill>
    <fill>
      <patternFill patternType="solid">
        <fgColor rgb="FFE2EFDA"/>
        <bgColor rgb="FFD7F0F0"/>
      </patternFill>
    </fill>
    <fill>
      <patternFill patternType="solid">
        <fgColor rgb="FFFCE4D6"/>
        <bgColor rgb="FFFADBD8"/>
      </patternFill>
    </fill>
    <fill>
      <patternFill patternType="solid">
        <fgColor rgb="FFE4DFEC"/>
        <bgColor rgb="FFD9E7F5"/>
      </patternFill>
    </fill>
    <fill>
      <patternFill patternType="solid">
        <fgColor rgb="FF2E75B6"/>
        <bgColor rgb="FF4672A8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8AA64F"/>
      </patternFill>
    </fill>
    <fill>
      <patternFill patternType="solid">
        <fgColor rgb="FFED7D31"/>
        <bgColor rgb="FFDC853E"/>
      </patternFill>
    </fill>
    <fill>
      <patternFill patternType="solid">
        <fgColor rgb="FFF2F2F2"/>
        <bgColor rgb="FFF9F9F9"/>
      </patternFill>
    </fill>
    <fill>
      <patternFill patternType="solid">
        <fgColor rgb="FF7030A0"/>
        <bgColor rgb="FF725990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FADBD8"/>
        <bgColor rgb="FFFCE4D6"/>
      </patternFill>
    </fill>
    <fill>
      <patternFill patternType="solid">
        <fgColor rgb="FF1F9999"/>
        <bgColor rgb="FF4299B0"/>
      </patternFill>
    </fill>
    <fill>
      <patternFill patternType="solid">
        <fgColor rgb="FFD7F0F0"/>
        <bgColor rgb="FFD9E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ADBD8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FF2CC"/>
      <rgbColor rgb="FFD7F0F0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5"/>
      <rgbColor rgb="FFE2EFDA"/>
      <rgbColor rgb="FFFCE4D6"/>
      <rgbColor rgb="FFE4DFEC"/>
      <rgbColor rgb="FFF2F2F2"/>
      <rgbColor rgb="FFF9F9F9"/>
      <rgbColor rgb="FFFADBD8"/>
      <rgbColor rgb="FF2E75B6"/>
      <rgbColor rgb="FF4299B0"/>
      <rgbColor rgb="FF70AD47"/>
      <rgbColor rgb="FFFFC000"/>
      <rgbColor rgb="FFFF9900"/>
      <rgbColor rgb="FFED7D31"/>
      <rgbColor rgb="FF725990"/>
      <rgbColor rgb="FF878787"/>
      <rgbColor rgb="FF1F3864"/>
      <rgbColor rgb="FF1F9999"/>
      <rgbColor rgb="FF003300"/>
      <rgbColor rgb="FF333300"/>
      <rgbColor rgb="FFC0504D"/>
      <rgbColor rgb="FFBE4B48"/>
      <rgbColor rgb="FF7030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Trend (kg)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Review'!C1</c:f>
              <c:strCache>
                <c:ptCount val="1"/>
                <c:pt idx="0">
                  <c:v>Avg Weight (kg)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Review'!$A$2:$A$14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'Weekly Review'!$C$2:$C$14</c:f>
              <c:numCache>
                <c:formatCode>General</c:formatCode>
                <c:ptCount val="1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192045"/>
        <c:axId val="27040692"/>
      </c:lineChart>
      <c:catAx>
        <c:axId val="41192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40692"/>
        <c:crosses val="autoZero"/>
        <c:auto val="1"/>
        <c:lblAlgn val="ctr"/>
        <c:lblOffset val="100"/>
        <c:noMultiLvlLbl val="0"/>
      </c:catAx>
      <c:valAx>
        <c:axId val="27040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92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Workouts Completed per Week (out of 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Review'!E1</c:f>
              <c:strCache>
                <c:ptCount val="1"/>
                <c:pt idx="0">
                  <c:v>Workouts Completed (/4)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Review'!$A$2:$A$14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'Weekly Review'!$E$2:$E$14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61343676"/>
        <c:axId val="22806741"/>
      </c:barChart>
      <c:catAx>
        <c:axId val="61343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06741"/>
        <c:crosses val="autoZero"/>
        <c:auto val="1"/>
        <c:lblAlgn val="ctr"/>
        <c:lblOffset val="100"/>
        <c:noMultiLvlLbl val="0"/>
      </c:catAx>
      <c:valAx>
        <c:axId val="22806741"/>
        <c:scaling>
          <c:orientation val="minMax"/>
          <c:max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Workouts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3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Spend: Budget vs Actual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Expenses'!C11</c:f>
              <c:strCache>
                <c:ptCount val="1"/>
                <c:pt idx="0">
                  <c:v>Budget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Expenses'!$B$12:$B$14</c:f>
              <c:strCache>
                <c:ptCount val="3"/>
                <c:pt idx="0">
                  <c:v>October 2026</c:v>
                </c:pt>
                <c:pt idx="1">
                  <c:v>November 2026</c:v>
                </c:pt>
                <c:pt idx="2">
                  <c:v>December 2026</c:v>
                </c:pt>
              </c:strCache>
            </c:strRef>
          </c:cat>
          <c:val>
            <c:numRef>
              <c:f>'Daily Expenses'!$C$12:$C$14</c:f>
              <c:numCache>
                <c:formatCode>General</c:formatCode>
                <c:ptCount val="3"/>
              </c:numCache>
            </c:numRef>
          </c:val>
        </c:ser>
        <c:ser>
          <c:idx val="1"/>
          <c:order val="1"/>
          <c:tx>
            <c:strRef>
              <c:f>'Daily Expenses'!D11</c:f>
              <c:strCache>
                <c:ptCount val="1"/>
                <c:pt idx="0">
                  <c:v>Actual Spent (Rs)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Expenses'!$B$12:$B$14</c:f>
              <c:strCache>
                <c:ptCount val="3"/>
                <c:pt idx="0">
                  <c:v>October 2026</c:v>
                </c:pt>
                <c:pt idx="1">
                  <c:v>November 2026</c:v>
                </c:pt>
                <c:pt idx="2">
                  <c:v>December 2026</c:v>
                </c:pt>
              </c:strCache>
            </c:strRef>
          </c:cat>
          <c:val>
            <c:numRef>
              <c:f>'Daily Expenses'!$D$12:$D$14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0979286"/>
        <c:axId val="94342577"/>
      </c:barChart>
      <c:catAx>
        <c:axId val="50979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42577"/>
        <c:crosses val="autoZero"/>
        <c:auto val="1"/>
        <c:lblAlgn val="ctr"/>
        <c:lblOffset val="100"/>
        <c:noMultiLvlLbl val="0"/>
      </c:catAx>
      <c:valAx>
        <c:axId val="94342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79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'Daily Expenses'!J11</c:f>
              <c:strCache>
                <c:ptCount val="1"/>
                <c:pt idx="0">
                  <c:v>Total Spent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'Daily Expenses'!$I$12:$I$18</c:f>
              <c:strCache>
                <c:ptCount val="7"/>
                <c:pt idx="0">
                  <c:v>Food</c:v>
                </c:pt>
                <c:pt idx="1">
                  <c:v>Transport</c:v>
                </c:pt>
                <c:pt idx="2">
                  <c:v>College/Stationery</c:v>
                </c:pt>
                <c:pt idx="3">
                  <c:v>Fitness/Equipment</c:v>
                </c:pt>
                <c:pt idx="4">
                  <c:v>Mobile/Recharge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'Daily Expenses'!$J$12:$J$18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39960</xdr:rowOff>
    </xdr:from>
    <xdr:to>
      <xdr:col>6</xdr:col>
      <xdr:colOff>120600</xdr:colOff>
      <xdr:row>39</xdr:row>
      <xdr:rowOff>62280</xdr:rowOff>
    </xdr:to>
    <xdr:graphicFrame>
      <xdr:nvGraphicFramePr>
        <xdr:cNvPr id="0" name="Chart 1"/>
        <xdr:cNvGraphicFramePr/>
      </xdr:nvGraphicFramePr>
      <xdr:xfrm>
        <a:off x="211320" y="517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39960</xdr:rowOff>
    </xdr:from>
    <xdr:to>
      <xdr:col>13</xdr:col>
      <xdr:colOff>25560</xdr:colOff>
      <xdr:row>39</xdr:row>
      <xdr:rowOff>62280</xdr:rowOff>
    </xdr:to>
    <xdr:graphicFrame>
      <xdr:nvGraphicFramePr>
        <xdr:cNvPr id="1" name="Chart 2"/>
        <xdr:cNvGraphicFramePr/>
      </xdr:nvGraphicFramePr>
      <xdr:xfrm>
        <a:off x="6977880" y="517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79920</xdr:rowOff>
    </xdr:from>
    <xdr:to>
      <xdr:col>5</xdr:col>
      <xdr:colOff>754920</xdr:colOff>
      <xdr:row>28</xdr:row>
      <xdr:rowOff>92520</xdr:rowOff>
    </xdr:to>
    <xdr:graphicFrame>
      <xdr:nvGraphicFramePr>
        <xdr:cNvPr id="2" name="Chart 1"/>
        <xdr:cNvGraphicFramePr/>
      </xdr:nvGraphicFramePr>
      <xdr:xfrm>
        <a:off x="211320" y="3343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79920</xdr:rowOff>
    </xdr:from>
    <xdr:to>
      <xdr:col>12</xdr:col>
      <xdr:colOff>418320</xdr:colOff>
      <xdr:row>28</xdr:row>
      <xdr:rowOff>92520</xdr:rowOff>
    </xdr:to>
    <xdr:graphicFrame>
      <xdr:nvGraphicFramePr>
        <xdr:cNvPr id="3" name="Chart 2"/>
        <xdr:cNvGraphicFramePr/>
      </xdr:nvGraphicFramePr>
      <xdr:xfrm>
        <a:off x="6766560" y="3343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</row>
    <row r="6" customFormat="false" ht="27.75" hidden="false" customHeight="true" outlineLevel="0" collapsed="false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  <c r="I6" s="6"/>
    </row>
    <row r="7" customFormat="false" ht="30" hidden="false" customHeight="true" outlineLevel="0" collapsed="false">
      <c r="B7" s="7" t="n">
        <f aca="true">MIN(90,MAX(0,TODAY()-$B$20+1))</f>
        <v>2</v>
      </c>
      <c r="C7" s="7"/>
      <c r="D7" s="8" t="n">
        <f aca="false">COUNTIF('Daily Tracker'!D2:D91,"Yes")</f>
        <v>0</v>
      </c>
      <c r="E7" s="8"/>
      <c r="F7" s="9" t="n">
        <f aca="true">COUNTIFS('Daily Tracker'!A2:A91,"&gt;="&amp;(TODAY()-WEEKDAY(TODAY(),3)),'Daily Tracker'!A2:A91,"&lt;="&amp;TODAY(),'Daily Tracker'!D2:D91,"Yes")</f>
        <v>0</v>
      </c>
      <c r="G7" s="9"/>
      <c r="H7" s="10" t="n">
        <f aca="false">IFERROR(ROUND(AVERAGE('Daily Tracker'!G2:G91),1),0)</f>
        <v>0</v>
      </c>
      <c r="I7" s="10"/>
    </row>
    <row r="10" customFormat="false" ht="15" hidden="false" customHeight="true" outlineLevel="0" collapsed="false">
      <c r="B10" s="11" t="s">
        <v>6</v>
      </c>
      <c r="C10" s="11"/>
      <c r="D10" s="11"/>
      <c r="E10" s="11"/>
      <c r="F10" s="11"/>
    </row>
    <row r="11" customFormat="false" ht="26.85" hidden="false" customHeight="false" outlineLevel="0" collapsed="false">
      <c r="B11" s="12" t="s">
        <v>7</v>
      </c>
      <c r="C11" s="12" t="s">
        <v>8</v>
      </c>
      <c r="D11" s="12" t="s">
        <v>9</v>
      </c>
      <c r="E11" s="12" t="s">
        <v>10</v>
      </c>
      <c r="F11" s="12" t="s">
        <v>11</v>
      </c>
    </row>
    <row r="12" customFormat="false" ht="15" hidden="false" customHeight="false" outlineLevel="0" collapsed="false">
      <c r="B12" s="13" t="s">
        <v>12</v>
      </c>
      <c r="C12" s="14"/>
      <c r="D12" s="14"/>
      <c r="E12" s="15" t="str">
        <f aca="false">IF(OR(C12="",D12=""),"",D12-C12)</f>
        <v/>
      </c>
      <c r="F12" s="14"/>
    </row>
    <row r="13" customFormat="false" ht="15" hidden="false" customHeight="false" outlineLevel="0" collapsed="false">
      <c r="B13" s="13" t="s">
        <v>13</v>
      </c>
      <c r="C13" s="14"/>
      <c r="D13" s="14"/>
      <c r="E13" s="15" t="str">
        <f aca="false">IF(OR(C13="",D13=""),"",D13-C13)</f>
        <v/>
      </c>
      <c r="F13" s="14"/>
    </row>
    <row r="14" customFormat="false" ht="15" hidden="false" customHeight="false" outlineLevel="0" collapsed="false">
      <c r="B14" s="13" t="s">
        <v>14</v>
      </c>
      <c r="C14" s="14"/>
      <c r="D14" s="14"/>
      <c r="E14" s="15" t="str">
        <f aca="false">IF(OR(C14="",D14=""),"",D14-C14)</f>
        <v/>
      </c>
      <c r="F14" s="14"/>
    </row>
    <row r="15" customFormat="false" ht="15" hidden="false" customHeight="false" outlineLevel="0" collapsed="false">
      <c r="B15" s="13" t="s">
        <v>15</v>
      </c>
      <c r="C15" s="14"/>
      <c r="D15" s="14"/>
      <c r="E15" s="15" t="str">
        <f aca="false">IF(OR(C15="",D15=""),"",D15-C15)</f>
        <v/>
      </c>
      <c r="F15" s="14"/>
    </row>
    <row r="16" customFormat="false" ht="15" hidden="false" customHeight="false" outlineLevel="0" collapsed="false">
      <c r="B16" s="13" t="s">
        <v>16</v>
      </c>
      <c r="C16" s="14"/>
      <c r="D16" s="14"/>
      <c r="E16" s="15" t="str">
        <f aca="false">IF(OR(C16="",D16=""),"",D16-C16)</f>
        <v/>
      </c>
      <c r="F16" s="14"/>
    </row>
    <row r="17" customFormat="false" ht="15" hidden="false" customHeight="false" outlineLevel="0" collapsed="false">
      <c r="B17" s="13" t="s">
        <v>17</v>
      </c>
      <c r="C17" s="14"/>
      <c r="D17" s="14"/>
      <c r="E17" s="15" t="str">
        <f aca="false">IF(OR(C17="",D17=""),"",D17-C17)</f>
        <v/>
      </c>
      <c r="F17" s="14"/>
    </row>
    <row r="18" customFormat="false" ht="15" hidden="false" customHeight="false" outlineLevel="0" collapsed="false">
      <c r="B18" s="13" t="s">
        <v>18</v>
      </c>
      <c r="C18" s="14"/>
      <c r="D18" s="14"/>
      <c r="E18" s="15" t="str">
        <f aca="false">IF(OR(C18="",D18=""),"",D18-C18)</f>
        <v/>
      </c>
      <c r="F18" s="14"/>
    </row>
    <row r="20" customFormat="false" ht="15" hidden="false" customHeight="false" outlineLevel="0" collapsed="false">
      <c r="A20" s="16" t="s">
        <v>19</v>
      </c>
      <c r="B20" s="17" t="n">
        <v>46296</v>
      </c>
    </row>
    <row r="22" customFormat="false" ht="15" hidden="false" customHeight="false" outlineLevel="0" collapsed="false">
      <c r="B22" s="18" t="s">
        <v>20</v>
      </c>
      <c r="C22" s="18"/>
      <c r="D22" s="18"/>
      <c r="E22" s="18"/>
      <c r="F22" s="18"/>
      <c r="G22" s="18"/>
      <c r="H22" s="18"/>
      <c r="I22" s="18"/>
      <c r="J22" s="18"/>
      <c r="K22" s="18"/>
    </row>
    <row r="25" customFormat="false" ht="15" hidden="false" customHeight="true" outlineLevel="0" collapsed="false">
      <c r="B25" s="19" t="s">
        <v>21</v>
      </c>
      <c r="C25" s="19"/>
      <c r="D25" s="19"/>
      <c r="E25" s="19"/>
      <c r="F25" s="19"/>
      <c r="H25" s="20" t="s">
        <v>22</v>
      </c>
      <c r="I25" s="20"/>
      <c r="J25" s="20"/>
      <c r="K25" s="20"/>
      <c r="L25" s="20"/>
      <c r="M25" s="20"/>
    </row>
  </sheetData>
  <mergeCells count="14">
    <mergeCell ref="B2:K3"/>
    <mergeCell ref="B4:K4"/>
    <mergeCell ref="B6:C6"/>
    <mergeCell ref="D6:E6"/>
    <mergeCell ref="F6:G6"/>
    <mergeCell ref="H6:I6"/>
    <mergeCell ref="B7:C7"/>
    <mergeCell ref="D7:E7"/>
    <mergeCell ref="F7:G7"/>
    <mergeCell ref="H7:I7"/>
    <mergeCell ref="B10:F10"/>
    <mergeCell ref="B22:K22"/>
    <mergeCell ref="B25:F25"/>
    <mergeCell ref="H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28"/>
  </cols>
  <sheetData>
    <row r="1" customFormat="false" ht="31.5" hidden="false" customHeight="true" outlineLevel="0" collapsed="false">
      <c r="A1" s="21" t="s">
        <v>23</v>
      </c>
      <c r="B1" s="21" t="s">
        <v>24</v>
      </c>
      <c r="C1" s="21" t="s">
        <v>25</v>
      </c>
      <c r="D1" s="21" t="s">
        <v>26</v>
      </c>
      <c r="E1" s="21" t="s">
        <v>27</v>
      </c>
      <c r="F1" s="21" t="s">
        <v>28</v>
      </c>
      <c r="G1" s="21" t="s">
        <v>29</v>
      </c>
      <c r="H1" s="21" t="s">
        <v>30</v>
      </c>
      <c r="I1" s="21" t="s">
        <v>31</v>
      </c>
      <c r="J1" s="21" t="s">
        <v>32</v>
      </c>
      <c r="K1" s="21" t="s">
        <v>33</v>
      </c>
      <c r="L1" s="21" t="s">
        <v>34</v>
      </c>
      <c r="M1" s="21" t="s">
        <v>35</v>
      </c>
      <c r="N1" s="21" t="s">
        <v>36</v>
      </c>
      <c r="O1" s="21" t="s">
        <v>37</v>
      </c>
    </row>
    <row r="2" customFormat="false" ht="15" hidden="false" customHeight="false" outlineLevel="0" collapsed="false">
      <c r="A2" s="22" t="n">
        <v>46296</v>
      </c>
      <c r="B2" s="23" t="n">
        <v>1</v>
      </c>
      <c r="C2" s="23" t="s">
        <v>38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 t="str">
        <f aca="false">IF(AND(D2="",L2="",M2=""),"",IF(AND(OR(D2="Yes",D2="Partial"),L2="Yes",M2="Yes"),"Done","Pending"))</f>
        <v/>
      </c>
      <c r="O2" s="23"/>
    </row>
    <row r="3" customFormat="false" ht="15" hidden="false" customHeight="false" outlineLevel="0" collapsed="false">
      <c r="A3" s="24" t="n">
        <v>46297</v>
      </c>
      <c r="B3" s="13" t="n">
        <v>2</v>
      </c>
      <c r="C3" s="13" t="s">
        <v>38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 t="str">
        <f aca="false">IF(AND(D3="",L3="",M3=""),"",IF(AND(OR(D3="Yes",D3="Partial"),L3="Yes",M3="Yes"),"Done","Pending"))</f>
        <v/>
      </c>
      <c r="O3" s="13"/>
    </row>
    <row r="4" customFormat="false" ht="15" hidden="false" customHeight="false" outlineLevel="0" collapsed="false">
      <c r="A4" s="22" t="n">
        <v>46298</v>
      </c>
      <c r="B4" s="23" t="n">
        <v>3</v>
      </c>
      <c r="C4" s="23" t="s">
        <v>38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 t="str">
        <f aca="false">IF(AND(D4="",L4="",M4=""),"",IF(AND(OR(D4="Yes",D4="Partial"),L4="Yes",M4="Yes"),"Done","Pending"))</f>
        <v/>
      </c>
      <c r="O4" s="23"/>
    </row>
    <row r="5" customFormat="false" ht="15" hidden="false" customHeight="false" outlineLevel="0" collapsed="false">
      <c r="A5" s="24" t="n">
        <v>46299</v>
      </c>
      <c r="B5" s="13" t="n">
        <v>4</v>
      </c>
      <c r="C5" s="13" t="s">
        <v>38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 t="str">
        <f aca="false">IF(AND(D5="",L5="",M5=""),"",IF(AND(OR(D5="Yes",D5="Partial"),L5="Yes",M5="Yes"),"Done","Pending"))</f>
        <v/>
      </c>
      <c r="O5" s="13"/>
    </row>
    <row r="6" customFormat="false" ht="15" hidden="false" customHeight="false" outlineLevel="0" collapsed="false">
      <c r="A6" s="22" t="n">
        <v>46300</v>
      </c>
      <c r="B6" s="23" t="n">
        <v>5</v>
      </c>
      <c r="C6" s="23" t="s">
        <v>38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 t="str">
        <f aca="false">IF(AND(D6="",L6="",M6=""),"",IF(AND(OR(D6="Yes",D6="Partial"),L6="Yes",M6="Yes"),"Done","Pending"))</f>
        <v/>
      </c>
      <c r="O6" s="23"/>
    </row>
    <row r="7" customFormat="false" ht="15" hidden="false" customHeight="false" outlineLevel="0" collapsed="false">
      <c r="A7" s="24" t="n">
        <v>46301</v>
      </c>
      <c r="B7" s="13" t="n">
        <v>6</v>
      </c>
      <c r="C7" s="13" t="s">
        <v>38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 t="str">
        <f aca="false">IF(AND(D7="",L7="",M7=""),"",IF(AND(OR(D7="Yes",D7="Partial"),L7="Yes",M7="Yes"),"Done","Pending"))</f>
        <v/>
      </c>
      <c r="O7" s="13"/>
    </row>
    <row r="8" customFormat="false" ht="15" hidden="false" customHeight="false" outlineLevel="0" collapsed="false">
      <c r="A8" s="22" t="n">
        <v>46302</v>
      </c>
      <c r="B8" s="23" t="n">
        <v>7</v>
      </c>
      <c r="C8" s="23" t="s">
        <v>38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 t="str">
        <f aca="false">IF(AND(D8="",L8="",M8=""),"",IF(AND(OR(D8="Yes",D8="Partial"),L8="Yes",M8="Yes"),"Done","Pending"))</f>
        <v/>
      </c>
      <c r="O8" s="23"/>
    </row>
    <row r="9" customFormat="false" ht="15" hidden="false" customHeight="false" outlineLevel="0" collapsed="false">
      <c r="A9" s="24" t="n">
        <v>46303</v>
      </c>
      <c r="B9" s="13" t="n">
        <v>8</v>
      </c>
      <c r="C9" s="13" t="s">
        <v>38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 t="str">
        <f aca="false">IF(AND(D9="",L9="",M9=""),"",IF(AND(OR(D9="Yes",D9="Partial"),L9="Yes",M9="Yes"),"Done","Pending"))</f>
        <v/>
      </c>
      <c r="O9" s="13"/>
    </row>
    <row r="10" customFormat="false" ht="15" hidden="false" customHeight="false" outlineLevel="0" collapsed="false">
      <c r="A10" s="22" t="n">
        <v>46304</v>
      </c>
      <c r="B10" s="23" t="n">
        <v>9</v>
      </c>
      <c r="C10" s="23" t="s">
        <v>38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 t="str">
        <f aca="false">IF(AND(D10="",L10="",M10=""),"",IF(AND(OR(D10="Yes",D10="Partial"),L10="Yes",M10="Yes"),"Done","Pending"))</f>
        <v/>
      </c>
      <c r="O10" s="23"/>
    </row>
    <row r="11" customFormat="false" ht="15" hidden="false" customHeight="false" outlineLevel="0" collapsed="false">
      <c r="A11" s="24" t="n">
        <v>46305</v>
      </c>
      <c r="B11" s="13" t="n">
        <v>10</v>
      </c>
      <c r="C11" s="13" t="s">
        <v>38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 t="str">
        <f aca="false">IF(AND(D11="",L11="",M11=""),"",IF(AND(OR(D11="Yes",D11="Partial"),L11="Yes",M11="Yes"),"Done","Pending"))</f>
        <v/>
      </c>
      <c r="O11" s="13"/>
    </row>
    <row r="12" customFormat="false" ht="15" hidden="false" customHeight="false" outlineLevel="0" collapsed="false">
      <c r="A12" s="22" t="n">
        <v>46306</v>
      </c>
      <c r="B12" s="23" t="n">
        <v>11</v>
      </c>
      <c r="C12" s="23" t="s">
        <v>38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 t="str">
        <f aca="false">IF(AND(D12="",L12="",M12=""),"",IF(AND(OR(D12="Yes",D12="Partial"),L12="Yes",M12="Yes"),"Done","Pending"))</f>
        <v/>
      </c>
      <c r="O12" s="23"/>
    </row>
    <row r="13" customFormat="false" ht="15" hidden="false" customHeight="false" outlineLevel="0" collapsed="false">
      <c r="A13" s="24" t="n">
        <v>46307</v>
      </c>
      <c r="B13" s="13" t="n">
        <v>12</v>
      </c>
      <c r="C13" s="13" t="s">
        <v>38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 t="str">
        <f aca="false">IF(AND(D13="",L13="",M13=""),"",IF(AND(OR(D13="Yes",D13="Partial"),L13="Yes",M13="Yes"),"Done","Pending"))</f>
        <v/>
      </c>
      <c r="O13" s="13"/>
    </row>
    <row r="14" customFormat="false" ht="15" hidden="false" customHeight="false" outlineLevel="0" collapsed="false">
      <c r="A14" s="22" t="n">
        <v>46308</v>
      </c>
      <c r="B14" s="23" t="n">
        <v>13</v>
      </c>
      <c r="C14" s="23" t="s">
        <v>38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 t="str">
        <f aca="false">IF(AND(D14="",L14="",M14=""),"",IF(AND(OR(D14="Yes",D14="Partial"),L14="Yes",M14="Yes"),"Done","Pending"))</f>
        <v/>
      </c>
      <c r="O14" s="23"/>
    </row>
    <row r="15" customFormat="false" ht="15" hidden="false" customHeight="false" outlineLevel="0" collapsed="false">
      <c r="A15" s="24" t="n">
        <v>46309</v>
      </c>
      <c r="B15" s="13" t="n">
        <v>14</v>
      </c>
      <c r="C15" s="13" t="s">
        <v>38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 t="str">
        <f aca="false">IF(AND(D15="",L15="",M15=""),"",IF(AND(OR(D15="Yes",D15="Partial"),L15="Yes",M15="Yes"),"Done","Pending"))</f>
        <v/>
      </c>
      <c r="O15" s="13"/>
    </row>
    <row r="16" customFormat="false" ht="15" hidden="false" customHeight="false" outlineLevel="0" collapsed="false">
      <c r="A16" s="22" t="n">
        <v>46310</v>
      </c>
      <c r="B16" s="23" t="n">
        <v>15</v>
      </c>
      <c r="C16" s="23" t="s">
        <v>38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 t="str">
        <f aca="false">IF(AND(D16="",L16="",M16=""),"",IF(AND(OR(D16="Yes",D16="Partial"),L16="Yes",M16="Yes"),"Done","Pending"))</f>
        <v/>
      </c>
      <c r="O16" s="23"/>
    </row>
    <row r="17" customFormat="false" ht="15" hidden="false" customHeight="false" outlineLevel="0" collapsed="false">
      <c r="A17" s="24" t="n">
        <v>46311</v>
      </c>
      <c r="B17" s="13" t="n">
        <v>16</v>
      </c>
      <c r="C17" s="13" t="s">
        <v>38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 t="str">
        <f aca="false">IF(AND(D17="",L17="",M17=""),"",IF(AND(OR(D17="Yes",D17="Partial"),L17="Yes",M17="Yes"),"Done","Pending"))</f>
        <v/>
      </c>
      <c r="O17" s="13"/>
    </row>
    <row r="18" customFormat="false" ht="15" hidden="false" customHeight="false" outlineLevel="0" collapsed="false">
      <c r="A18" s="22" t="n">
        <v>46312</v>
      </c>
      <c r="B18" s="23" t="n">
        <v>17</v>
      </c>
      <c r="C18" s="23" t="s">
        <v>38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 t="str">
        <f aca="false">IF(AND(D18="",L18="",M18=""),"",IF(AND(OR(D18="Yes",D18="Partial"),L18="Yes",M18="Yes"),"Done","Pending"))</f>
        <v/>
      </c>
      <c r="O18" s="23"/>
    </row>
    <row r="19" customFormat="false" ht="15" hidden="false" customHeight="false" outlineLevel="0" collapsed="false">
      <c r="A19" s="24" t="n">
        <v>46313</v>
      </c>
      <c r="B19" s="13" t="n">
        <v>18</v>
      </c>
      <c r="C19" s="13" t="s">
        <v>38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 t="str">
        <f aca="false">IF(AND(D19="",L19="",M19=""),"",IF(AND(OR(D19="Yes",D19="Partial"),L19="Yes",M19="Yes"),"Done","Pending"))</f>
        <v/>
      </c>
      <c r="O19" s="13"/>
    </row>
    <row r="20" customFormat="false" ht="15" hidden="false" customHeight="false" outlineLevel="0" collapsed="false">
      <c r="A20" s="22" t="n">
        <v>46314</v>
      </c>
      <c r="B20" s="23" t="n">
        <v>19</v>
      </c>
      <c r="C20" s="23" t="s">
        <v>38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 t="str">
        <f aca="false">IF(AND(D20="",L20="",M20=""),"",IF(AND(OR(D20="Yes",D20="Partial"),L20="Yes",M20="Yes"),"Done","Pending"))</f>
        <v/>
      </c>
      <c r="O20" s="23"/>
    </row>
    <row r="21" customFormat="false" ht="15" hidden="false" customHeight="false" outlineLevel="0" collapsed="false">
      <c r="A21" s="24" t="n">
        <v>46315</v>
      </c>
      <c r="B21" s="13" t="n">
        <v>20</v>
      </c>
      <c r="C21" s="13" t="s">
        <v>38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 t="str">
        <f aca="false">IF(AND(D21="",L21="",M21=""),"",IF(AND(OR(D21="Yes",D21="Partial"),L21="Yes",M21="Yes"),"Done","Pending"))</f>
        <v/>
      </c>
      <c r="O21" s="13"/>
    </row>
    <row r="22" customFormat="false" ht="15" hidden="false" customHeight="false" outlineLevel="0" collapsed="false">
      <c r="A22" s="22" t="n">
        <v>46316</v>
      </c>
      <c r="B22" s="23" t="n">
        <v>21</v>
      </c>
      <c r="C22" s="23" t="s">
        <v>38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 t="str">
        <f aca="false">IF(AND(D22="",L22="",M22=""),"",IF(AND(OR(D22="Yes",D22="Partial"),L22="Yes",M22="Yes"),"Done","Pending"))</f>
        <v/>
      </c>
      <c r="O22" s="23"/>
    </row>
    <row r="23" customFormat="false" ht="15" hidden="false" customHeight="false" outlineLevel="0" collapsed="false">
      <c r="A23" s="24" t="n">
        <v>46317</v>
      </c>
      <c r="B23" s="13" t="n">
        <v>22</v>
      </c>
      <c r="C23" s="13" t="s">
        <v>38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 t="str">
        <f aca="false">IF(AND(D23="",L23="",M23=""),"",IF(AND(OR(D23="Yes",D23="Partial"),L23="Yes",M23="Yes"),"Done","Pending"))</f>
        <v/>
      </c>
      <c r="O23" s="13"/>
    </row>
    <row r="24" customFormat="false" ht="15" hidden="false" customHeight="false" outlineLevel="0" collapsed="false">
      <c r="A24" s="22" t="n">
        <v>46318</v>
      </c>
      <c r="B24" s="23" t="n">
        <v>23</v>
      </c>
      <c r="C24" s="23" t="s">
        <v>38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 t="str">
        <f aca="false">IF(AND(D24="",L24="",M24=""),"",IF(AND(OR(D24="Yes",D24="Partial"),L24="Yes",M24="Yes"),"Done","Pending"))</f>
        <v/>
      </c>
      <c r="O24" s="23"/>
    </row>
    <row r="25" customFormat="false" ht="15" hidden="false" customHeight="false" outlineLevel="0" collapsed="false">
      <c r="A25" s="24" t="n">
        <v>46319</v>
      </c>
      <c r="B25" s="13" t="n">
        <v>24</v>
      </c>
      <c r="C25" s="13" t="s">
        <v>38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 t="str">
        <f aca="false">IF(AND(D25="",L25="",M25=""),"",IF(AND(OR(D25="Yes",D25="Partial"),L25="Yes",M25="Yes"),"Done","Pending"))</f>
        <v/>
      </c>
      <c r="O25" s="13"/>
    </row>
    <row r="26" customFormat="false" ht="15" hidden="false" customHeight="false" outlineLevel="0" collapsed="false">
      <c r="A26" s="22" t="n">
        <v>46320</v>
      </c>
      <c r="B26" s="23" t="n">
        <v>25</v>
      </c>
      <c r="C26" s="23" t="s">
        <v>38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 t="str">
        <f aca="false">IF(AND(D26="",L26="",M26=""),"",IF(AND(OR(D26="Yes",D26="Partial"),L26="Yes",M26="Yes"),"Done","Pending"))</f>
        <v/>
      </c>
      <c r="O26" s="23"/>
    </row>
    <row r="27" customFormat="false" ht="15" hidden="false" customHeight="false" outlineLevel="0" collapsed="false">
      <c r="A27" s="24" t="n">
        <v>46321</v>
      </c>
      <c r="B27" s="13" t="n">
        <v>26</v>
      </c>
      <c r="C27" s="13" t="s">
        <v>38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 t="str">
        <f aca="false">IF(AND(D27="",L27="",M27=""),"",IF(AND(OR(D27="Yes",D27="Partial"),L27="Yes",M27="Yes"),"Done","Pending"))</f>
        <v/>
      </c>
      <c r="O27" s="13"/>
    </row>
    <row r="28" customFormat="false" ht="15" hidden="false" customHeight="false" outlineLevel="0" collapsed="false">
      <c r="A28" s="22" t="n">
        <v>46322</v>
      </c>
      <c r="B28" s="23" t="n">
        <v>27</v>
      </c>
      <c r="C28" s="23" t="s">
        <v>38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 t="str">
        <f aca="false">IF(AND(D28="",L28="",M28=""),"",IF(AND(OR(D28="Yes",D28="Partial"),L28="Yes",M28="Yes"),"Done","Pending"))</f>
        <v/>
      </c>
      <c r="O28" s="23"/>
    </row>
    <row r="29" customFormat="false" ht="15" hidden="false" customHeight="false" outlineLevel="0" collapsed="false">
      <c r="A29" s="24" t="n">
        <v>46323</v>
      </c>
      <c r="B29" s="13" t="n">
        <v>28</v>
      </c>
      <c r="C29" s="13" t="s">
        <v>38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 t="str">
        <f aca="false">IF(AND(D29="",L29="",M29=""),"",IF(AND(OR(D29="Yes",D29="Partial"),L29="Yes",M29="Yes"),"Done","Pending"))</f>
        <v/>
      </c>
      <c r="O29" s="13"/>
    </row>
    <row r="30" customFormat="false" ht="15" hidden="false" customHeight="false" outlineLevel="0" collapsed="false">
      <c r="A30" s="22" t="n">
        <v>46324</v>
      </c>
      <c r="B30" s="23" t="n">
        <v>29</v>
      </c>
      <c r="C30" s="23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 t="str">
        <f aca="false">IF(AND(D30="",L30="",M30=""),"",IF(AND(OR(D30="Yes",D30="Partial"),L30="Yes",M30="Yes"),"Done","Pending"))</f>
        <v/>
      </c>
      <c r="O30" s="23"/>
    </row>
    <row r="31" customFormat="false" ht="15" hidden="false" customHeight="false" outlineLevel="0" collapsed="false">
      <c r="A31" s="24" t="n">
        <v>46325</v>
      </c>
      <c r="B31" s="13" t="n">
        <v>30</v>
      </c>
      <c r="C31" s="13" t="s">
        <v>38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 t="str">
        <f aca="false">IF(AND(D31="",L31="",M31=""),"",IF(AND(OR(D31="Yes",D31="Partial"),L31="Yes",M31="Yes"),"Done","Pending"))</f>
        <v/>
      </c>
      <c r="O31" s="13"/>
    </row>
    <row r="32" customFormat="false" ht="15" hidden="false" customHeight="false" outlineLevel="0" collapsed="false">
      <c r="A32" s="22" t="n">
        <v>46326</v>
      </c>
      <c r="B32" s="23" t="n">
        <v>31</v>
      </c>
      <c r="C32" s="23" t="s">
        <v>39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 t="str">
        <f aca="false">IF(AND(D32="",L32="",M32=""),"",IF(AND(OR(D32="Yes",D32="Partial"),L32="Yes",M32="Yes"),"Done","Pending"))</f>
        <v/>
      </c>
      <c r="O32" s="23"/>
    </row>
    <row r="33" customFormat="false" ht="15" hidden="false" customHeight="false" outlineLevel="0" collapsed="false">
      <c r="A33" s="24" t="n">
        <v>46327</v>
      </c>
      <c r="B33" s="13" t="n">
        <v>32</v>
      </c>
      <c r="C33" s="13" t="s">
        <v>39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 t="str">
        <f aca="false">IF(AND(D33="",L33="",M33=""),"",IF(AND(OR(D33="Yes",D33="Partial"),L33="Yes",M33="Yes"),"Done","Pending"))</f>
        <v/>
      </c>
      <c r="O33" s="13"/>
    </row>
    <row r="34" customFormat="false" ht="15" hidden="false" customHeight="false" outlineLevel="0" collapsed="false">
      <c r="A34" s="22" t="n">
        <v>46328</v>
      </c>
      <c r="B34" s="23" t="n">
        <v>33</v>
      </c>
      <c r="C34" s="23" t="s">
        <v>39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 t="str">
        <f aca="false">IF(AND(D34="",L34="",M34=""),"",IF(AND(OR(D34="Yes",D34="Partial"),L34="Yes",M34="Yes"),"Done","Pending"))</f>
        <v/>
      </c>
      <c r="O34" s="23"/>
    </row>
    <row r="35" customFormat="false" ht="15" hidden="false" customHeight="false" outlineLevel="0" collapsed="false">
      <c r="A35" s="24" t="n">
        <v>46329</v>
      </c>
      <c r="B35" s="13" t="n">
        <v>34</v>
      </c>
      <c r="C35" s="13" t="s">
        <v>39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 t="str">
        <f aca="false">IF(AND(D35="",L35="",M35=""),"",IF(AND(OR(D35="Yes",D35="Partial"),L35="Yes",M35="Yes"),"Done","Pending"))</f>
        <v/>
      </c>
      <c r="O35" s="13"/>
    </row>
    <row r="36" customFormat="false" ht="15" hidden="false" customHeight="false" outlineLevel="0" collapsed="false">
      <c r="A36" s="22" t="n">
        <v>46330</v>
      </c>
      <c r="B36" s="23" t="n">
        <v>35</v>
      </c>
      <c r="C36" s="23" t="s">
        <v>39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 t="str">
        <f aca="false">IF(AND(D36="",L36="",M36=""),"",IF(AND(OR(D36="Yes",D36="Partial"),L36="Yes",M36="Yes"),"Done","Pending"))</f>
        <v/>
      </c>
      <c r="O36" s="23"/>
    </row>
    <row r="37" customFormat="false" ht="15" hidden="false" customHeight="false" outlineLevel="0" collapsed="false">
      <c r="A37" s="24" t="n">
        <v>46331</v>
      </c>
      <c r="B37" s="13" t="n">
        <v>36</v>
      </c>
      <c r="C37" s="13" t="s">
        <v>39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 t="str">
        <f aca="false">IF(AND(D37="",L37="",M37=""),"",IF(AND(OR(D37="Yes",D37="Partial"),L37="Yes",M37="Yes"),"Done","Pending"))</f>
        <v/>
      </c>
      <c r="O37" s="13"/>
    </row>
    <row r="38" customFormat="false" ht="15" hidden="false" customHeight="false" outlineLevel="0" collapsed="false">
      <c r="A38" s="22" t="n">
        <v>46332</v>
      </c>
      <c r="B38" s="23" t="n">
        <v>37</v>
      </c>
      <c r="C38" s="23" t="s">
        <v>39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 t="str">
        <f aca="false">IF(AND(D38="",L38="",M38=""),"",IF(AND(OR(D38="Yes",D38="Partial"),L38="Yes",M38="Yes"),"Done","Pending"))</f>
        <v/>
      </c>
      <c r="O38" s="23"/>
    </row>
    <row r="39" customFormat="false" ht="15" hidden="false" customHeight="false" outlineLevel="0" collapsed="false">
      <c r="A39" s="24" t="n">
        <v>46333</v>
      </c>
      <c r="B39" s="13" t="n">
        <v>38</v>
      </c>
      <c r="C39" s="13" t="s">
        <v>39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 t="str">
        <f aca="false">IF(AND(D39="",L39="",M39=""),"",IF(AND(OR(D39="Yes",D39="Partial"),L39="Yes",M39="Yes"),"Done","Pending"))</f>
        <v/>
      </c>
      <c r="O39" s="13"/>
    </row>
    <row r="40" customFormat="false" ht="15" hidden="false" customHeight="false" outlineLevel="0" collapsed="false">
      <c r="A40" s="22" t="n">
        <v>46334</v>
      </c>
      <c r="B40" s="23" t="n">
        <v>39</v>
      </c>
      <c r="C40" s="23" t="s">
        <v>39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 t="str">
        <f aca="false">IF(AND(D40="",L40="",M40=""),"",IF(AND(OR(D40="Yes",D40="Partial"),L40="Yes",M40="Yes"),"Done","Pending"))</f>
        <v/>
      </c>
      <c r="O40" s="23"/>
    </row>
    <row r="41" customFormat="false" ht="15" hidden="false" customHeight="false" outlineLevel="0" collapsed="false">
      <c r="A41" s="24" t="n">
        <v>46335</v>
      </c>
      <c r="B41" s="13" t="n">
        <v>40</v>
      </c>
      <c r="C41" s="13" t="s">
        <v>39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 t="str">
        <f aca="false">IF(AND(D41="",L41="",M41=""),"",IF(AND(OR(D41="Yes",D41="Partial"),L41="Yes",M41="Yes"),"Done","Pending"))</f>
        <v/>
      </c>
      <c r="O41" s="13"/>
    </row>
    <row r="42" customFormat="false" ht="15" hidden="false" customHeight="false" outlineLevel="0" collapsed="false">
      <c r="A42" s="22" t="n">
        <v>46336</v>
      </c>
      <c r="B42" s="23" t="n">
        <v>41</v>
      </c>
      <c r="C42" s="23" t="s">
        <v>39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 t="str">
        <f aca="false">IF(AND(D42="",L42="",M42=""),"",IF(AND(OR(D42="Yes",D42="Partial"),L42="Yes",M42="Yes"),"Done","Pending"))</f>
        <v/>
      </c>
      <c r="O42" s="23"/>
    </row>
    <row r="43" customFormat="false" ht="15" hidden="false" customHeight="false" outlineLevel="0" collapsed="false">
      <c r="A43" s="24" t="n">
        <v>46337</v>
      </c>
      <c r="B43" s="13" t="n">
        <v>42</v>
      </c>
      <c r="C43" s="13" t="s">
        <v>39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 t="str">
        <f aca="false">IF(AND(D43="",L43="",M43=""),"",IF(AND(OR(D43="Yes",D43="Partial"),L43="Yes",M43="Yes"),"Done","Pending"))</f>
        <v/>
      </c>
      <c r="O43" s="13"/>
    </row>
    <row r="44" customFormat="false" ht="15" hidden="false" customHeight="false" outlineLevel="0" collapsed="false">
      <c r="A44" s="22" t="n">
        <v>46338</v>
      </c>
      <c r="B44" s="23" t="n">
        <v>43</v>
      </c>
      <c r="C44" s="23" t="s">
        <v>39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 t="str">
        <f aca="false">IF(AND(D44="",L44="",M44=""),"",IF(AND(OR(D44="Yes",D44="Partial"),L44="Yes",M44="Yes"),"Done","Pending"))</f>
        <v/>
      </c>
      <c r="O44" s="23"/>
    </row>
    <row r="45" customFormat="false" ht="15" hidden="false" customHeight="false" outlineLevel="0" collapsed="false">
      <c r="A45" s="24" t="n">
        <v>46339</v>
      </c>
      <c r="B45" s="13" t="n">
        <v>44</v>
      </c>
      <c r="C45" s="13" t="s">
        <v>39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 t="str">
        <f aca="false">IF(AND(D45="",L45="",M45=""),"",IF(AND(OR(D45="Yes",D45="Partial"),L45="Yes",M45="Yes"),"Done","Pending"))</f>
        <v/>
      </c>
      <c r="O45" s="13"/>
    </row>
    <row r="46" customFormat="false" ht="15" hidden="false" customHeight="false" outlineLevel="0" collapsed="false">
      <c r="A46" s="22" t="n">
        <v>46340</v>
      </c>
      <c r="B46" s="23" t="n">
        <v>45</v>
      </c>
      <c r="C46" s="23" t="s">
        <v>39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 t="str">
        <f aca="false">IF(AND(D46="",L46="",M46=""),"",IF(AND(OR(D46="Yes",D46="Partial"),L46="Yes",M46="Yes"),"Done","Pending"))</f>
        <v/>
      </c>
      <c r="O46" s="23"/>
    </row>
    <row r="47" customFormat="false" ht="15" hidden="false" customHeight="false" outlineLevel="0" collapsed="false">
      <c r="A47" s="24" t="n">
        <v>46341</v>
      </c>
      <c r="B47" s="13" t="n">
        <v>46</v>
      </c>
      <c r="C47" s="13" t="s">
        <v>39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 t="str">
        <f aca="false">IF(AND(D47="",L47="",M47=""),"",IF(AND(OR(D47="Yes",D47="Partial"),L47="Yes",M47="Yes"),"Done","Pending"))</f>
        <v/>
      </c>
      <c r="O47" s="13"/>
    </row>
    <row r="48" customFormat="false" ht="15" hidden="false" customHeight="false" outlineLevel="0" collapsed="false">
      <c r="A48" s="22" t="n">
        <v>46342</v>
      </c>
      <c r="B48" s="23" t="n">
        <v>47</v>
      </c>
      <c r="C48" s="23" t="s">
        <v>39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 t="str">
        <f aca="false">IF(AND(D48="",L48="",M48=""),"",IF(AND(OR(D48="Yes",D48="Partial"),L48="Yes",M48="Yes"),"Done","Pending"))</f>
        <v/>
      </c>
      <c r="O48" s="23"/>
    </row>
    <row r="49" customFormat="false" ht="15" hidden="false" customHeight="false" outlineLevel="0" collapsed="false">
      <c r="A49" s="24" t="n">
        <v>46343</v>
      </c>
      <c r="B49" s="13" t="n">
        <v>48</v>
      </c>
      <c r="C49" s="13" t="s">
        <v>39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 t="str">
        <f aca="false">IF(AND(D49="",L49="",M49=""),"",IF(AND(OR(D49="Yes",D49="Partial"),L49="Yes",M49="Yes"),"Done","Pending"))</f>
        <v/>
      </c>
      <c r="O49" s="13"/>
    </row>
    <row r="50" customFormat="false" ht="15" hidden="false" customHeight="false" outlineLevel="0" collapsed="false">
      <c r="A50" s="22" t="n">
        <v>46344</v>
      </c>
      <c r="B50" s="23" t="n">
        <v>49</v>
      </c>
      <c r="C50" s="23" t="s">
        <v>39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 t="str">
        <f aca="false">IF(AND(D50="",L50="",M50=""),"",IF(AND(OR(D50="Yes",D50="Partial"),L50="Yes",M50="Yes"),"Done","Pending"))</f>
        <v/>
      </c>
      <c r="O50" s="23"/>
    </row>
    <row r="51" customFormat="false" ht="15" hidden="false" customHeight="false" outlineLevel="0" collapsed="false">
      <c r="A51" s="24" t="n">
        <v>46345</v>
      </c>
      <c r="B51" s="13" t="n">
        <v>50</v>
      </c>
      <c r="C51" s="13" t="s">
        <v>39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 t="str">
        <f aca="false">IF(AND(D51="",L51="",M51=""),"",IF(AND(OR(D51="Yes",D51="Partial"),L51="Yes",M51="Yes"),"Done","Pending"))</f>
        <v/>
      </c>
      <c r="O51" s="13"/>
    </row>
    <row r="52" customFormat="false" ht="15" hidden="false" customHeight="false" outlineLevel="0" collapsed="false">
      <c r="A52" s="22" t="n">
        <v>46346</v>
      </c>
      <c r="B52" s="23" t="n">
        <v>51</v>
      </c>
      <c r="C52" s="23" t="s">
        <v>39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 t="str">
        <f aca="false">IF(AND(D52="",L52="",M52=""),"",IF(AND(OR(D52="Yes",D52="Partial"),L52="Yes",M52="Yes"),"Done","Pending"))</f>
        <v/>
      </c>
      <c r="O52" s="23"/>
    </row>
    <row r="53" customFormat="false" ht="15" hidden="false" customHeight="false" outlineLevel="0" collapsed="false">
      <c r="A53" s="24" t="n">
        <v>46347</v>
      </c>
      <c r="B53" s="13" t="n">
        <v>52</v>
      </c>
      <c r="C53" s="13" t="s">
        <v>39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 t="str">
        <f aca="false">IF(AND(D53="",L53="",M53=""),"",IF(AND(OR(D53="Yes",D53="Partial"),L53="Yes",M53="Yes"),"Done","Pending"))</f>
        <v/>
      </c>
      <c r="O53" s="13"/>
    </row>
    <row r="54" customFormat="false" ht="15" hidden="false" customHeight="false" outlineLevel="0" collapsed="false">
      <c r="A54" s="22" t="n">
        <v>46348</v>
      </c>
      <c r="B54" s="23" t="n">
        <v>53</v>
      </c>
      <c r="C54" s="23" t="s">
        <v>39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 t="str">
        <f aca="false">IF(AND(D54="",L54="",M54=""),"",IF(AND(OR(D54="Yes",D54="Partial"),L54="Yes",M54="Yes"),"Done","Pending"))</f>
        <v/>
      </c>
      <c r="O54" s="23"/>
    </row>
    <row r="55" customFormat="false" ht="15" hidden="false" customHeight="false" outlineLevel="0" collapsed="false">
      <c r="A55" s="24" t="n">
        <v>46349</v>
      </c>
      <c r="B55" s="13" t="n">
        <v>54</v>
      </c>
      <c r="C55" s="13" t="s">
        <v>39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 t="str">
        <f aca="false">IF(AND(D55="",L55="",M55=""),"",IF(AND(OR(D55="Yes",D55="Partial"),L55="Yes",M55="Yes"),"Done","Pending"))</f>
        <v/>
      </c>
      <c r="O55" s="13"/>
    </row>
    <row r="56" customFormat="false" ht="15" hidden="false" customHeight="false" outlineLevel="0" collapsed="false">
      <c r="A56" s="22" t="n">
        <v>46350</v>
      </c>
      <c r="B56" s="23" t="n">
        <v>55</v>
      </c>
      <c r="C56" s="23" t="s">
        <v>39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 t="str">
        <f aca="false">IF(AND(D56="",L56="",M56=""),"",IF(AND(OR(D56="Yes",D56="Partial"),L56="Yes",M56="Yes"),"Done","Pending"))</f>
        <v/>
      </c>
      <c r="O56" s="23"/>
    </row>
    <row r="57" customFormat="false" ht="15" hidden="false" customHeight="false" outlineLevel="0" collapsed="false">
      <c r="A57" s="24" t="n">
        <v>46351</v>
      </c>
      <c r="B57" s="13" t="n">
        <v>56</v>
      </c>
      <c r="C57" s="13" t="s">
        <v>39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 t="str">
        <f aca="false">IF(AND(D57="",L57="",M57=""),"",IF(AND(OR(D57="Yes",D57="Partial"),L57="Yes",M57="Yes"),"Done","Pending"))</f>
        <v/>
      </c>
      <c r="O57" s="13"/>
    </row>
    <row r="58" customFormat="false" ht="15" hidden="false" customHeight="false" outlineLevel="0" collapsed="false">
      <c r="A58" s="22" t="n">
        <v>46352</v>
      </c>
      <c r="B58" s="23" t="n">
        <v>57</v>
      </c>
      <c r="C58" s="23" t="s">
        <v>39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 t="str">
        <f aca="false">IF(AND(D58="",L58="",M58=""),"",IF(AND(OR(D58="Yes",D58="Partial"),L58="Yes",M58="Yes"),"Done","Pending"))</f>
        <v/>
      </c>
      <c r="O58" s="23"/>
    </row>
    <row r="59" customFormat="false" ht="15" hidden="false" customHeight="false" outlineLevel="0" collapsed="false">
      <c r="A59" s="24" t="n">
        <v>46353</v>
      </c>
      <c r="B59" s="13" t="n">
        <v>58</v>
      </c>
      <c r="C59" s="13" t="s">
        <v>39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 t="str">
        <f aca="false">IF(AND(D59="",L59="",M59=""),"",IF(AND(OR(D59="Yes",D59="Partial"),L59="Yes",M59="Yes"),"Done","Pending"))</f>
        <v/>
      </c>
      <c r="O59" s="13"/>
    </row>
    <row r="60" customFormat="false" ht="15" hidden="false" customHeight="false" outlineLevel="0" collapsed="false">
      <c r="A60" s="22" t="n">
        <v>46354</v>
      </c>
      <c r="B60" s="23" t="n">
        <v>59</v>
      </c>
      <c r="C60" s="23" t="s">
        <v>39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 t="str">
        <f aca="false">IF(AND(D60="",L60="",M60=""),"",IF(AND(OR(D60="Yes",D60="Partial"),L60="Yes",M60="Yes"),"Done","Pending"))</f>
        <v/>
      </c>
      <c r="O60" s="23"/>
    </row>
    <row r="61" customFormat="false" ht="15" hidden="false" customHeight="false" outlineLevel="0" collapsed="false">
      <c r="A61" s="24" t="n">
        <v>46355</v>
      </c>
      <c r="B61" s="13" t="n">
        <v>60</v>
      </c>
      <c r="C61" s="13" t="s">
        <v>39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 t="str">
        <f aca="false">IF(AND(D61="",L61="",M61=""),"",IF(AND(OR(D61="Yes",D61="Partial"),L61="Yes",M61="Yes"),"Done","Pending"))</f>
        <v/>
      </c>
      <c r="O61" s="13"/>
    </row>
    <row r="62" customFormat="false" ht="15" hidden="false" customHeight="false" outlineLevel="0" collapsed="false">
      <c r="A62" s="22" t="n">
        <v>46356</v>
      </c>
      <c r="B62" s="23" t="n">
        <v>61</v>
      </c>
      <c r="C62" s="23" t="s">
        <v>40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 t="str">
        <f aca="false">IF(AND(D62="",L62="",M62=""),"",IF(AND(OR(D62="Yes",D62="Partial"),L62="Yes",M62="Yes"),"Done","Pending"))</f>
        <v/>
      </c>
      <c r="O62" s="23"/>
    </row>
    <row r="63" customFormat="false" ht="15" hidden="false" customHeight="false" outlineLevel="0" collapsed="false">
      <c r="A63" s="24" t="n">
        <v>46357</v>
      </c>
      <c r="B63" s="13" t="n">
        <v>62</v>
      </c>
      <c r="C63" s="13" t="s">
        <v>40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 t="str">
        <f aca="false">IF(AND(D63="",L63="",M63=""),"",IF(AND(OR(D63="Yes",D63="Partial"),L63="Yes",M63="Yes"),"Done","Pending"))</f>
        <v/>
      </c>
      <c r="O63" s="13"/>
    </row>
    <row r="64" customFormat="false" ht="15" hidden="false" customHeight="false" outlineLevel="0" collapsed="false">
      <c r="A64" s="22" t="n">
        <v>46358</v>
      </c>
      <c r="B64" s="23" t="n">
        <v>63</v>
      </c>
      <c r="C64" s="23" t="s">
        <v>40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 t="str">
        <f aca="false">IF(AND(D64="",L64="",M64=""),"",IF(AND(OR(D64="Yes",D64="Partial"),L64="Yes",M64="Yes"),"Done","Pending"))</f>
        <v/>
      </c>
      <c r="O64" s="23"/>
    </row>
    <row r="65" customFormat="false" ht="15" hidden="false" customHeight="false" outlineLevel="0" collapsed="false">
      <c r="A65" s="24" t="n">
        <v>46359</v>
      </c>
      <c r="B65" s="13" t="n">
        <v>64</v>
      </c>
      <c r="C65" s="13" t="s">
        <v>40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 t="str">
        <f aca="false">IF(AND(D65="",L65="",M65=""),"",IF(AND(OR(D65="Yes",D65="Partial"),L65="Yes",M65="Yes"),"Done","Pending"))</f>
        <v/>
      </c>
      <c r="O65" s="13"/>
    </row>
    <row r="66" customFormat="false" ht="15" hidden="false" customHeight="false" outlineLevel="0" collapsed="false">
      <c r="A66" s="22" t="n">
        <v>46360</v>
      </c>
      <c r="B66" s="23" t="n">
        <v>65</v>
      </c>
      <c r="C66" s="23" t="s">
        <v>40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 t="str">
        <f aca="false">IF(AND(D66="",L66="",M66=""),"",IF(AND(OR(D66="Yes",D66="Partial"),L66="Yes",M66="Yes"),"Done","Pending"))</f>
        <v/>
      </c>
      <c r="O66" s="23"/>
    </row>
    <row r="67" customFormat="false" ht="15" hidden="false" customHeight="false" outlineLevel="0" collapsed="false">
      <c r="A67" s="24" t="n">
        <v>46361</v>
      </c>
      <c r="B67" s="13" t="n">
        <v>66</v>
      </c>
      <c r="C67" s="13" t="s">
        <v>40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 t="str">
        <f aca="false">IF(AND(D67="",L67="",M67=""),"",IF(AND(OR(D67="Yes",D67="Partial"),L67="Yes",M67="Yes"),"Done","Pending"))</f>
        <v/>
      </c>
      <c r="O67" s="13"/>
    </row>
    <row r="68" customFormat="false" ht="15" hidden="false" customHeight="false" outlineLevel="0" collapsed="false">
      <c r="A68" s="22" t="n">
        <v>46362</v>
      </c>
      <c r="B68" s="23" t="n">
        <v>67</v>
      </c>
      <c r="C68" s="23" t="s">
        <v>40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 t="str">
        <f aca="false">IF(AND(D68="",L68="",M68=""),"",IF(AND(OR(D68="Yes",D68="Partial"),L68="Yes",M68="Yes"),"Done","Pending"))</f>
        <v/>
      </c>
      <c r="O68" s="23"/>
    </row>
    <row r="69" customFormat="false" ht="15" hidden="false" customHeight="false" outlineLevel="0" collapsed="false">
      <c r="A69" s="24" t="n">
        <v>46363</v>
      </c>
      <c r="B69" s="13" t="n">
        <v>68</v>
      </c>
      <c r="C69" s="13" t="s">
        <v>40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 t="str">
        <f aca="false">IF(AND(D69="",L69="",M69=""),"",IF(AND(OR(D69="Yes",D69="Partial"),L69="Yes",M69="Yes"),"Done","Pending"))</f>
        <v/>
      </c>
      <c r="O69" s="13"/>
    </row>
    <row r="70" customFormat="false" ht="15" hidden="false" customHeight="false" outlineLevel="0" collapsed="false">
      <c r="A70" s="22" t="n">
        <v>46364</v>
      </c>
      <c r="B70" s="23" t="n">
        <v>69</v>
      </c>
      <c r="C70" s="23" t="s">
        <v>40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 t="str">
        <f aca="false">IF(AND(D70="",L70="",M70=""),"",IF(AND(OR(D70="Yes",D70="Partial"),L70="Yes",M70="Yes"),"Done","Pending"))</f>
        <v/>
      </c>
      <c r="O70" s="23"/>
    </row>
    <row r="71" customFormat="false" ht="15" hidden="false" customHeight="false" outlineLevel="0" collapsed="false">
      <c r="A71" s="24" t="n">
        <v>46365</v>
      </c>
      <c r="B71" s="13" t="n">
        <v>70</v>
      </c>
      <c r="C71" s="13" t="s">
        <v>40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 t="str">
        <f aca="false">IF(AND(D71="",L71="",M71=""),"",IF(AND(OR(D71="Yes",D71="Partial"),L71="Yes",M71="Yes"),"Done","Pending"))</f>
        <v/>
      </c>
      <c r="O71" s="13"/>
    </row>
    <row r="72" customFormat="false" ht="15" hidden="false" customHeight="false" outlineLevel="0" collapsed="false">
      <c r="A72" s="22" t="n">
        <v>46366</v>
      </c>
      <c r="B72" s="23" t="n">
        <v>71</v>
      </c>
      <c r="C72" s="23" t="s">
        <v>40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 t="str">
        <f aca="false">IF(AND(D72="",L72="",M72=""),"",IF(AND(OR(D72="Yes",D72="Partial"),L72="Yes",M72="Yes"),"Done","Pending"))</f>
        <v/>
      </c>
      <c r="O72" s="23"/>
    </row>
    <row r="73" customFormat="false" ht="15" hidden="false" customHeight="false" outlineLevel="0" collapsed="false">
      <c r="A73" s="24" t="n">
        <v>46367</v>
      </c>
      <c r="B73" s="13" t="n">
        <v>72</v>
      </c>
      <c r="C73" s="13" t="s">
        <v>40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 t="str">
        <f aca="false">IF(AND(D73="",L73="",M73=""),"",IF(AND(OR(D73="Yes",D73="Partial"),L73="Yes",M73="Yes"),"Done","Pending"))</f>
        <v/>
      </c>
      <c r="O73" s="13"/>
    </row>
    <row r="74" customFormat="false" ht="15" hidden="false" customHeight="false" outlineLevel="0" collapsed="false">
      <c r="A74" s="22" t="n">
        <v>46368</v>
      </c>
      <c r="B74" s="23" t="n">
        <v>73</v>
      </c>
      <c r="C74" s="23" t="s">
        <v>40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 t="str">
        <f aca="false">IF(AND(D74="",L74="",M74=""),"",IF(AND(OR(D74="Yes",D74="Partial"),L74="Yes",M74="Yes"),"Done","Pending"))</f>
        <v/>
      </c>
      <c r="O74" s="23"/>
    </row>
    <row r="75" customFormat="false" ht="15" hidden="false" customHeight="false" outlineLevel="0" collapsed="false">
      <c r="A75" s="24" t="n">
        <v>46369</v>
      </c>
      <c r="B75" s="13" t="n">
        <v>74</v>
      </c>
      <c r="C75" s="13" t="s">
        <v>40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 t="str">
        <f aca="false">IF(AND(D75="",L75="",M75=""),"",IF(AND(OR(D75="Yes",D75="Partial"),L75="Yes",M75="Yes"),"Done","Pending"))</f>
        <v/>
      </c>
      <c r="O75" s="13"/>
    </row>
    <row r="76" customFormat="false" ht="15" hidden="false" customHeight="false" outlineLevel="0" collapsed="false">
      <c r="A76" s="22" t="n">
        <v>46370</v>
      </c>
      <c r="B76" s="23" t="n">
        <v>75</v>
      </c>
      <c r="C76" s="23" t="s">
        <v>40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 t="str">
        <f aca="false">IF(AND(D76="",L76="",M76=""),"",IF(AND(OR(D76="Yes",D76="Partial"),L76="Yes",M76="Yes"),"Done","Pending"))</f>
        <v/>
      </c>
      <c r="O76" s="23"/>
    </row>
    <row r="77" customFormat="false" ht="15" hidden="false" customHeight="false" outlineLevel="0" collapsed="false">
      <c r="A77" s="24" t="n">
        <v>46371</v>
      </c>
      <c r="B77" s="13" t="n">
        <v>76</v>
      </c>
      <c r="C77" s="13" t="s">
        <v>40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 t="str">
        <f aca="false">IF(AND(D77="",L77="",M77=""),"",IF(AND(OR(D77="Yes",D77="Partial"),L77="Yes",M77="Yes"),"Done","Pending"))</f>
        <v/>
      </c>
      <c r="O77" s="13"/>
    </row>
    <row r="78" customFormat="false" ht="15" hidden="false" customHeight="false" outlineLevel="0" collapsed="false">
      <c r="A78" s="22" t="n">
        <v>46372</v>
      </c>
      <c r="B78" s="23" t="n">
        <v>77</v>
      </c>
      <c r="C78" s="23" t="s">
        <v>40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 t="str">
        <f aca="false">IF(AND(D78="",L78="",M78=""),"",IF(AND(OR(D78="Yes",D78="Partial"),L78="Yes",M78="Yes"),"Done","Pending"))</f>
        <v/>
      </c>
      <c r="O78" s="23"/>
    </row>
    <row r="79" customFormat="false" ht="15" hidden="false" customHeight="false" outlineLevel="0" collapsed="false">
      <c r="A79" s="24" t="n">
        <v>46373</v>
      </c>
      <c r="B79" s="13" t="n">
        <v>78</v>
      </c>
      <c r="C79" s="13" t="s">
        <v>40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 t="str">
        <f aca="false">IF(AND(D79="",L79="",M79=""),"",IF(AND(OR(D79="Yes",D79="Partial"),L79="Yes",M79="Yes"),"Done","Pending"))</f>
        <v/>
      </c>
      <c r="O79" s="13"/>
    </row>
    <row r="80" customFormat="false" ht="15" hidden="false" customHeight="false" outlineLevel="0" collapsed="false">
      <c r="A80" s="22" t="n">
        <v>46374</v>
      </c>
      <c r="B80" s="23" t="n">
        <v>79</v>
      </c>
      <c r="C80" s="23" t="s">
        <v>40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 t="str">
        <f aca="false">IF(AND(D80="",L80="",M80=""),"",IF(AND(OR(D80="Yes",D80="Partial"),L80="Yes",M80="Yes"),"Done","Pending"))</f>
        <v/>
      </c>
      <c r="O80" s="23"/>
    </row>
    <row r="81" customFormat="false" ht="15" hidden="false" customHeight="false" outlineLevel="0" collapsed="false">
      <c r="A81" s="24" t="n">
        <v>46375</v>
      </c>
      <c r="B81" s="13" t="n">
        <v>80</v>
      </c>
      <c r="C81" s="13" t="s">
        <v>40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 t="str">
        <f aca="false">IF(AND(D81="",L81="",M81=""),"",IF(AND(OR(D81="Yes",D81="Partial"),L81="Yes",M81="Yes"),"Done","Pending"))</f>
        <v/>
      </c>
      <c r="O81" s="13"/>
    </row>
    <row r="82" customFormat="false" ht="15" hidden="false" customHeight="false" outlineLevel="0" collapsed="false">
      <c r="A82" s="22" t="n">
        <v>46376</v>
      </c>
      <c r="B82" s="23" t="n">
        <v>81</v>
      </c>
      <c r="C82" s="23" t="s">
        <v>40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 t="str">
        <f aca="false">IF(AND(D82="",L82="",M82=""),"",IF(AND(OR(D82="Yes",D82="Partial"),L82="Yes",M82="Yes"),"Done","Pending"))</f>
        <v/>
      </c>
      <c r="O82" s="23"/>
    </row>
    <row r="83" customFormat="false" ht="15" hidden="false" customHeight="false" outlineLevel="0" collapsed="false">
      <c r="A83" s="24" t="n">
        <v>46377</v>
      </c>
      <c r="B83" s="13" t="n">
        <v>82</v>
      </c>
      <c r="C83" s="13" t="s">
        <v>40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 t="str">
        <f aca="false">IF(AND(D83="",L83="",M83=""),"",IF(AND(OR(D83="Yes",D83="Partial"),L83="Yes",M83="Yes"),"Done","Pending"))</f>
        <v/>
      </c>
      <c r="O83" s="13"/>
    </row>
    <row r="84" customFormat="false" ht="15" hidden="false" customHeight="false" outlineLevel="0" collapsed="false">
      <c r="A84" s="22" t="n">
        <v>46378</v>
      </c>
      <c r="B84" s="23" t="n">
        <v>83</v>
      </c>
      <c r="C84" s="23" t="s">
        <v>40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 t="str">
        <f aca="false">IF(AND(D84="",L84="",M84=""),"",IF(AND(OR(D84="Yes",D84="Partial"),L84="Yes",M84="Yes"),"Done","Pending"))</f>
        <v/>
      </c>
      <c r="O84" s="23"/>
    </row>
    <row r="85" customFormat="false" ht="15" hidden="false" customHeight="false" outlineLevel="0" collapsed="false">
      <c r="A85" s="24" t="n">
        <v>46379</v>
      </c>
      <c r="B85" s="13" t="n">
        <v>84</v>
      </c>
      <c r="C85" s="13" t="s">
        <v>40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 t="str">
        <f aca="false">IF(AND(D85="",L85="",M85=""),"",IF(AND(OR(D85="Yes",D85="Partial"),L85="Yes",M85="Yes"),"Done","Pending"))</f>
        <v/>
      </c>
      <c r="O85" s="13"/>
    </row>
    <row r="86" customFormat="false" ht="15" hidden="false" customHeight="false" outlineLevel="0" collapsed="false">
      <c r="A86" s="22" t="n">
        <v>46380</v>
      </c>
      <c r="B86" s="23" t="n">
        <v>85</v>
      </c>
      <c r="C86" s="23" t="s">
        <v>40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 t="str">
        <f aca="false">IF(AND(D86="",L86="",M86=""),"",IF(AND(OR(D86="Yes",D86="Partial"),L86="Yes",M86="Yes"),"Done","Pending"))</f>
        <v/>
      </c>
      <c r="O86" s="23"/>
    </row>
    <row r="87" customFormat="false" ht="15" hidden="false" customHeight="false" outlineLevel="0" collapsed="false">
      <c r="A87" s="24" t="n">
        <v>46381</v>
      </c>
      <c r="B87" s="13" t="n">
        <v>86</v>
      </c>
      <c r="C87" s="13" t="s">
        <v>40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 t="str">
        <f aca="false">IF(AND(D87="",L87="",M87=""),"",IF(AND(OR(D87="Yes",D87="Partial"),L87="Yes",M87="Yes"),"Done","Pending"))</f>
        <v/>
      </c>
      <c r="O87" s="13"/>
    </row>
    <row r="88" customFormat="false" ht="15" hidden="false" customHeight="false" outlineLevel="0" collapsed="false">
      <c r="A88" s="22" t="n">
        <v>46382</v>
      </c>
      <c r="B88" s="23" t="n">
        <v>87</v>
      </c>
      <c r="C88" s="23" t="s">
        <v>40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 t="str">
        <f aca="false">IF(AND(D88="",L88="",M88=""),"",IF(AND(OR(D88="Yes",D88="Partial"),L88="Yes",M88="Yes"),"Done","Pending"))</f>
        <v/>
      </c>
      <c r="O88" s="23"/>
    </row>
    <row r="89" customFormat="false" ht="15" hidden="false" customHeight="false" outlineLevel="0" collapsed="false">
      <c r="A89" s="24" t="n">
        <v>46383</v>
      </c>
      <c r="B89" s="13" t="n">
        <v>88</v>
      </c>
      <c r="C89" s="13" t="s">
        <v>40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 t="str">
        <f aca="false">IF(AND(D89="",L89="",M89=""),"",IF(AND(OR(D89="Yes",D89="Partial"),L89="Yes",M89="Yes"),"Done","Pending"))</f>
        <v/>
      </c>
      <c r="O89" s="13"/>
    </row>
    <row r="90" customFormat="false" ht="15" hidden="false" customHeight="false" outlineLevel="0" collapsed="false">
      <c r="A90" s="22" t="n">
        <v>46384</v>
      </c>
      <c r="B90" s="23" t="n">
        <v>89</v>
      </c>
      <c r="C90" s="23" t="s">
        <v>40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 t="str">
        <f aca="false">IF(AND(D90="",L90="",M90=""),"",IF(AND(OR(D90="Yes",D90="Partial"),L90="Yes",M90="Yes"),"Done","Pending"))</f>
        <v/>
      </c>
      <c r="O90" s="23"/>
    </row>
    <row r="91" customFormat="false" ht="15" hidden="false" customHeight="false" outlineLevel="0" collapsed="false">
      <c r="A91" s="24" t="n">
        <v>46385</v>
      </c>
      <c r="B91" s="13" t="n">
        <v>90</v>
      </c>
      <c r="C91" s="13" t="s">
        <v>40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 t="str">
        <f aca="false">IF(AND(D91="",L91="",M91=""),"",IF(AND(OR(D91="Yes",D91="Partial"),L91="Yes",M91="Yes"),"Done","Pending"))</f>
        <v/>
      </c>
      <c r="O91" s="13"/>
    </row>
  </sheetData>
  <conditionalFormatting sqref="D2:D91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"Partial"</formula>
    </cfRule>
  </conditionalFormatting>
  <conditionalFormatting sqref="L2:L91">
    <cfRule type="cellIs" priority="5" operator="equal" aboveAverage="0" equalAverage="0" bottom="0" percent="0" rank="0" text="" dxfId="0">
      <formula>"Yes"</formula>
    </cfRule>
    <cfRule type="cellIs" priority="6" operator="equal" aboveAverage="0" equalAverage="0" bottom="0" percent="0" rank="0" text="" dxfId="1">
      <formula>"No"</formula>
    </cfRule>
  </conditionalFormatting>
  <conditionalFormatting sqref="M2:M91">
    <cfRule type="cellIs" priority="7" operator="equal" aboveAverage="0" equalAverage="0" bottom="0" percent="0" rank="0" text="" dxfId="0">
      <formula>"Yes"</formula>
    </cfRule>
    <cfRule type="cellIs" priority="8" operator="equal" aboveAverage="0" equalAverage="0" bottom="0" percent="0" rank="0" text="" dxfId="1">
      <formula>"No"</formula>
    </cfRule>
  </conditionalFormatting>
  <conditionalFormatting sqref="N2:N91">
    <cfRule type="cellIs" priority="9" operator="equal" aboveAverage="0" equalAverage="0" bottom="0" percent="0" rank="0" text="" dxfId="0">
      <formula>"Done"</formula>
    </cfRule>
    <cfRule type="cellIs" priority="10" operator="equal" aboveAverage="0" equalAverage="0" bottom="0" percent="0" rank="0" text="" dxfId="2">
      <formula>"Pending"</formula>
    </cfRule>
  </conditionalFormatting>
  <conditionalFormatting sqref="I2:J9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4">
    <dataValidation allowBlank="true" errorStyle="stop" operator="between" showDropDown="false" showErrorMessage="false" showInputMessage="false" sqref="D2:D91" type="list">
      <formula1>"Yes,No,Partial"</formula1>
      <formula2>0</formula2>
    </dataValidation>
    <dataValidation allowBlank="true" errorStyle="stop" operator="between" showDropDown="false" showErrorMessage="false" showInputMessage="false" sqref="I2:J91" type="list">
      <formula1>"1,2,3,4,5"</formula1>
      <formula2>0</formula2>
    </dataValidation>
    <dataValidation allowBlank="true" errorStyle="stop" operator="between" showDropDown="false" showErrorMessage="false" showInputMessage="false" sqref="K2:K91" type="list">
      <formula1>"1,2,3,4,5,6,7,8,9,10"</formula1>
      <formula2>0</formula2>
    </dataValidation>
    <dataValidation allowBlank="true" errorStyle="stop" operator="between" showDropDown="false" showErrorMessage="false" showInputMessage="false" sqref="L2:M9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22"/>
    <col collapsed="false" customWidth="true" hidden="false" outlineLevel="0" max="13" min="13" style="0" width="24"/>
  </cols>
  <sheetData>
    <row r="1" customFormat="false" ht="33.75" hidden="false" customHeight="true" outlineLevel="0" collapsed="false">
      <c r="A1" s="12" t="s">
        <v>41</v>
      </c>
      <c r="B1" s="12" t="s">
        <v>42</v>
      </c>
      <c r="C1" s="12" t="s">
        <v>43</v>
      </c>
      <c r="D1" s="12" t="s">
        <v>14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31</v>
      </c>
      <c r="K1" s="12" t="s">
        <v>49</v>
      </c>
      <c r="L1" s="12" t="s">
        <v>50</v>
      </c>
      <c r="M1" s="12" t="s">
        <v>51</v>
      </c>
    </row>
    <row r="2" customFormat="false" ht="15" hidden="false" customHeight="false" outlineLevel="0" collapsed="false">
      <c r="A2" s="25" t="n">
        <v>1</v>
      </c>
      <c r="B2" s="25" t="s">
        <v>52</v>
      </c>
      <c r="C2" s="26"/>
      <c r="D2" s="26"/>
      <c r="E2" s="25" t="n">
        <f aca="false">COUNTIFS('Daily Tracker'!$B$2:$B$91,"&gt;="&amp;1,'Daily Tracker'!$B$2:$B$91,"&lt;="&amp;7,'Daily Tracker'!$D$2:$D$91,"Yes")</f>
        <v>0</v>
      </c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13" t="n">
        <v>2</v>
      </c>
      <c r="B3" s="13" t="s">
        <v>53</v>
      </c>
      <c r="C3" s="26"/>
      <c r="D3" s="26"/>
      <c r="E3" s="13" t="n">
        <f aca="false">COUNTIFS('Daily Tracker'!$B$2:$B$91,"&gt;="&amp;8,'Daily Tracker'!$B$2:$B$91,"&lt;="&amp;14,'Daily Tracker'!$D$2:$D$91,"Yes")</f>
        <v>0</v>
      </c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5" t="n">
        <v>3</v>
      </c>
      <c r="B4" s="25" t="s">
        <v>54</v>
      </c>
      <c r="C4" s="26"/>
      <c r="D4" s="26"/>
      <c r="E4" s="25" t="n">
        <f aca="false">COUNTIFS('Daily Tracker'!$B$2:$B$91,"&gt;="&amp;15,'Daily Tracker'!$B$2:$B$91,"&lt;="&amp;21,'Daily Tracker'!$D$2:$D$91,"Yes")</f>
        <v>0</v>
      </c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13" t="n">
        <v>4</v>
      </c>
      <c r="B5" s="13" t="s">
        <v>55</v>
      </c>
      <c r="C5" s="26"/>
      <c r="D5" s="26"/>
      <c r="E5" s="13" t="n">
        <f aca="false">COUNTIFS('Daily Tracker'!$B$2:$B$91,"&gt;="&amp;22,'Daily Tracker'!$B$2:$B$91,"&lt;="&amp;28,'Daily Tracker'!$D$2:$D$91,"Yes")</f>
        <v>0</v>
      </c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false" outlineLevel="0" collapsed="false">
      <c r="A6" s="25" t="n">
        <v>5</v>
      </c>
      <c r="B6" s="25" t="s">
        <v>56</v>
      </c>
      <c r="C6" s="26"/>
      <c r="D6" s="26"/>
      <c r="E6" s="25" t="n">
        <f aca="false">COUNTIFS('Daily Tracker'!$B$2:$B$91,"&gt;="&amp;29,'Daily Tracker'!$B$2:$B$91,"&lt;="&amp;35,'Daily Tracker'!$D$2:$D$91,"Yes")</f>
        <v>0</v>
      </c>
      <c r="F6" s="26"/>
      <c r="G6" s="26"/>
      <c r="H6" s="26"/>
      <c r="I6" s="26"/>
      <c r="J6" s="26"/>
      <c r="K6" s="26"/>
      <c r="L6" s="26"/>
      <c r="M6" s="26"/>
    </row>
    <row r="7" customFormat="false" ht="15" hidden="false" customHeight="false" outlineLevel="0" collapsed="false">
      <c r="A7" s="13" t="n">
        <v>6</v>
      </c>
      <c r="B7" s="13" t="s">
        <v>57</v>
      </c>
      <c r="C7" s="26"/>
      <c r="D7" s="26"/>
      <c r="E7" s="13" t="n">
        <f aca="false">COUNTIFS('Daily Tracker'!$B$2:$B$91,"&gt;="&amp;36,'Daily Tracker'!$B$2:$B$91,"&lt;="&amp;42,'Daily Tracker'!$D$2:$D$91,"Yes")</f>
        <v>0</v>
      </c>
      <c r="F7" s="26"/>
      <c r="G7" s="26"/>
      <c r="H7" s="26"/>
      <c r="I7" s="26"/>
      <c r="J7" s="26"/>
      <c r="K7" s="26"/>
      <c r="L7" s="26"/>
      <c r="M7" s="26"/>
    </row>
    <row r="8" customFormat="false" ht="15" hidden="false" customHeight="false" outlineLevel="0" collapsed="false">
      <c r="A8" s="25" t="n">
        <v>7</v>
      </c>
      <c r="B8" s="25" t="s">
        <v>58</v>
      </c>
      <c r="C8" s="26"/>
      <c r="D8" s="26"/>
      <c r="E8" s="25" t="n">
        <f aca="false">COUNTIFS('Daily Tracker'!$B$2:$B$91,"&gt;="&amp;43,'Daily Tracker'!$B$2:$B$91,"&lt;="&amp;49,'Daily Tracker'!$D$2:$D$91,"Yes")</f>
        <v>0</v>
      </c>
      <c r="F8" s="26"/>
      <c r="G8" s="26"/>
      <c r="H8" s="26"/>
      <c r="I8" s="26"/>
      <c r="J8" s="26"/>
      <c r="K8" s="26"/>
      <c r="L8" s="26"/>
      <c r="M8" s="26"/>
    </row>
    <row r="9" customFormat="false" ht="15" hidden="false" customHeight="false" outlineLevel="0" collapsed="false">
      <c r="A9" s="13" t="n">
        <v>8</v>
      </c>
      <c r="B9" s="13" t="s">
        <v>59</v>
      </c>
      <c r="C9" s="26"/>
      <c r="D9" s="26"/>
      <c r="E9" s="13" t="n">
        <f aca="false">COUNTIFS('Daily Tracker'!$B$2:$B$91,"&gt;="&amp;50,'Daily Tracker'!$B$2:$B$91,"&lt;="&amp;56,'Daily Tracker'!$D$2:$D$91,"Yes")</f>
        <v>0</v>
      </c>
      <c r="F9" s="26"/>
      <c r="G9" s="26"/>
      <c r="H9" s="26"/>
      <c r="I9" s="26"/>
      <c r="J9" s="26"/>
      <c r="K9" s="26"/>
      <c r="L9" s="26"/>
      <c r="M9" s="26"/>
    </row>
    <row r="10" customFormat="false" ht="15" hidden="false" customHeight="false" outlineLevel="0" collapsed="false">
      <c r="A10" s="25" t="n">
        <v>9</v>
      </c>
      <c r="B10" s="25" t="s">
        <v>60</v>
      </c>
      <c r="C10" s="26"/>
      <c r="D10" s="26"/>
      <c r="E10" s="25" t="n">
        <f aca="false">COUNTIFS('Daily Tracker'!$B$2:$B$91,"&gt;="&amp;57,'Daily Tracker'!$B$2:$B$91,"&lt;="&amp;63,'Daily Tracker'!$D$2:$D$91,"Yes")</f>
        <v>0</v>
      </c>
      <c r="F10" s="26"/>
      <c r="G10" s="26"/>
      <c r="H10" s="26"/>
      <c r="I10" s="26"/>
      <c r="J10" s="26"/>
      <c r="K10" s="26"/>
      <c r="L10" s="26"/>
      <c r="M10" s="26"/>
    </row>
    <row r="11" customFormat="false" ht="15" hidden="false" customHeight="false" outlineLevel="0" collapsed="false">
      <c r="A11" s="13" t="n">
        <v>10</v>
      </c>
      <c r="B11" s="13" t="s">
        <v>61</v>
      </c>
      <c r="C11" s="26"/>
      <c r="D11" s="26"/>
      <c r="E11" s="13" t="n">
        <f aca="false">COUNTIFS('Daily Tracker'!$B$2:$B$91,"&gt;="&amp;64,'Daily Tracker'!$B$2:$B$91,"&lt;="&amp;70,'Daily Tracker'!$D$2:$D$91,"Yes")</f>
        <v>0</v>
      </c>
      <c r="F11" s="26"/>
      <c r="G11" s="26"/>
      <c r="H11" s="26"/>
      <c r="I11" s="26"/>
      <c r="J11" s="26"/>
      <c r="K11" s="26"/>
      <c r="L11" s="26"/>
      <c r="M11" s="26"/>
    </row>
    <row r="12" customFormat="false" ht="15" hidden="false" customHeight="false" outlineLevel="0" collapsed="false">
      <c r="A12" s="25" t="n">
        <v>11</v>
      </c>
      <c r="B12" s="25" t="s">
        <v>62</v>
      </c>
      <c r="C12" s="26"/>
      <c r="D12" s="26"/>
      <c r="E12" s="25" t="n">
        <f aca="false">COUNTIFS('Daily Tracker'!$B$2:$B$91,"&gt;="&amp;71,'Daily Tracker'!$B$2:$B$91,"&lt;="&amp;77,'Daily Tracker'!$D$2:$D$91,"Yes")</f>
        <v>0</v>
      </c>
      <c r="F12" s="26"/>
      <c r="G12" s="26"/>
      <c r="H12" s="26"/>
      <c r="I12" s="26"/>
      <c r="J12" s="26"/>
      <c r="K12" s="26"/>
      <c r="L12" s="26"/>
      <c r="M12" s="26"/>
    </row>
    <row r="13" customFormat="false" ht="15" hidden="false" customHeight="false" outlineLevel="0" collapsed="false">
      <c r="A13" s="13" t="n">
        <v>12</v>
      </c>
      <c r="B13" s="13" t="s">
        <v>63</v>
      </c>
      <c r="C13" s="26"/>
      <c r="D13" s="26"/>
      <c r="E13" s="13" t="n">
        <f aca="false">COUNTIFS('Daily Tracker'!$B$2:$B$91,"&gt;="&amp;78,'Daily Tracker'!$B$2:$B$91,"&lt;="&amp;84,'Daily Tracker'!$D$2:$D$91,"Yes")</f>
        <v>0</v>
      </c>
      <c r="F13" s="26"/>
      <c r="G13" s="26"/>
      <c r="H13" s="26"/>
      <c r="I13" s="26"/>
      <c r="J13" s="26"/>
      <c r="K13" s="26"/>
      <c r="L13" s="26"/>
      <c r="M13" s="26"/>
    </row>
    <row r="14" customFormat="false" ht="15" hidden="false" customHeight="false" outlineLevel="0" collapsed="false">
      <c r="A14" s="25" t="n">
        <v>13</v>
      </c>
      <c r="B14" s="25" t="s">
        <v>64</v>
      </c>
      <c r="C14" s="26"/>
      <c r="D14" s="26"/>
      <c r="E14" s="25" t="n">
        <f aca="false">COUNTIFS('Daily Tracker'!$B$2:$B$91,"&gt;="&amp;85,'Daily Tracker'!$B$2:$B$91,"&lt;="&amp;91,'Daily Tracker'!$D$2:$D$91,"Yes")</f>
        <v>0</v>
      </c>
      <c r="F14" s="26"/>
      <c r="G14" s="26"/>
      <c r="H14" s="26"/>
      <c r="I14" s="26"/>
      <c r="J14" s="26"/>
      <c r="K14" s="26"/>
      <c r="L14" s="26"/>
      <c r="M1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27" t="s">
        <v>65</v>
      </c>
      <c r="B1" s="27"/>
      <c r="C1" s="27"/>
      <c r="D1" s="27"/>
      <c r="E1" s="27"/>
      <c r="F1" s="27"/>
    </row>
    <row r="3" customFormat="false" ht="15" hidden="false" customHeight="false" outlineLevel="0" collapsed="false">
      <c r="A3" s="28" t="s">
        <v>7</v>
      </c>
      <c r="B3" s="28" t="s">
        <v>66</v>
      </c>
      <c r="C3" s="28" t="s">
        <v>67</v>
      </c>
      <c r="D3" s="28" t="s">
        <v>68</v>
      </c>
      <c r="E3" s="28" t="s">
        <v>69</v>
      </c>
      <c r="F3" s="28" t="s">
        <v>70</v>
      </c>
    </row>
    <row r="4" customFormat="false" ht="15" hidden="false" customHeight="true" outlineLevel="0" collapsed="false">
      <c r="A4" s="11" t="s">
        <v>71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A5" s="13" t="s">
        <v>12</v>
      </c>
      <c r="B5" s="14"/>
      <c r="C5" s="14"/>
      <c r="D5" s="14"/>
      <c r="E5" s="14"/>
      <c r="F5" s="15" t="str">
        <f aca="false">IF(OR(B5="",E5=""),"",E5-B5)</f>
        <v/>
      </c>
    </row>
    <row r="6" customFormat="false" ht="15" hidden="false" customHeight="false" outlineLevel="0" collapsed="false">
      <c r="A6" s="13" t="s">
        <v>13</v>
      </c>
      <c r="B6" s="14"/>
      <c r="C6" s="14"/>
      <c r="D6" s="14"/>
      <c r="E6" s="14"/>
      <c r="F6" s="15" t="str">
        <f aca="false">IF(OR(B6="",E6=""),"",E6-B6)</f>
        <v/>
      </c>
    </row>
    <row r="7" customFormat="false" ht="15" hidden="false" customHeight="false" outlineLevel="0" collapsed="false">
      <c r="A7" s="13" t="s">
        <v>14</v>
      </c>
      <c r="B7" s="14"/>
      <c r="C7" s="14"/>
      <c r="D7" s="14"/>
      <c r="E7" s="14"/>
      <c r="F7" s="15" t="str">
        <f aca="false">IF(OR(B7="",E7=""),"",E7-B7)</f>
        <v/>
      </c>
    </row>
    <row r="8" customFormat="false" ht="15" hidden="false" customHeight="false" outlineLevel="0" collapsed="false">
      <c r="A8" s="13" t="s">
        <v>15</v>
      </c>
      <c r="B8" s="14"/>
      <c r="C8" s="14"/>
      <c r="D8" s="14"/>
      <c r="E8" s="14"/>
      <c r="F8" s="15" t="str">
        <f aca="false">IF(OR(B8="",E8=""),"",E8-B8)</f>
        <v/>
      </c>
    </row>
    <row r="9" customFormat="false" ht="15" hidden="false" customHeight="true" outlineLevel="0" collapsed="false">
      <c r="A9" s="11" t="s">
        <v>72</v>
      </c>
      <c r="B9" s="11"/>
      <c r="C9" s="11"/>
      <c r="D9" s="11"/>
      <c r="E9" s="11"/>
      <c r="F9" s="11"/>
    </row>
    <row r="10" customFormat="false" ht="15" hidden="false" customHeight="false" outlineLevel="0" collapsed="false">
      <c r="A10" s="13" t="s">
        <v>16</v>
      </c>
      <c r="B10" s="14"/>
      <c r="C10" s="14"/>
      <c r="D10" s="14"/>
      <c r="E10" s="14"/>
      <c r="F10" s="15" t="str">
        <f aca="false">IF(OR(B10="",E10=""),"",E10-B10)</f>
        <v/>
      </c>
    </row>
    <row r="11" customFormat="false" ht="15" hidden="false" customHeight="false" outlineLevel="0" collapsed="false">
      <c r="A11" s="13" t="s">
        <v>17</v>
      </c>
      <c r="B11" s="14"/>
      <c r="C11" s="14"/>
      <c r="D11" s="14"/>
      <c r="E11" s="14"/>
      <c r="F11" s="15" t="str">
        <f aca="false">IF(OR(B11="",E11=""),"",E11-B11)</f>
        <v/>
      </c>
    </row>
    <row r="12" customFormat="false" ht="15" hidden="false" customHeight="false" outlineLevel="0" collapsed="false">
      <c r="A12" s="13" t="s">
        <v>18</v>
      </c>
      <c r="B12" s="14"/>
      <c r="C12" s="14"/>
      <c r="D12" s="14"/>
      <c r="E12" s="14"/>
      <c r="F12" s="15" t="str">
        <f aca="false">IF(OR(B12="",E12=""),"",E12-B12)</f>
        <v/>
      </c>
    </row>
    <row r="13" customFormat="false" ht="15" hidden="false" customHeight="false" outlineLevel="0" collapsed="false">
      <c r="A13" s="13" t="s">
        <v>73</v>
      </c>
      <c r="B13" s="14"/>
      <c r="C13" s="14"/>
      <c r="D13" s="14"/>
      <c r="E13" s="14"/>
      <c r="F13" s="15" t="str">
        <f aca="false">IF(OR(B13="",E13=""),"",E13-B13)</f>
        <v/>
      </c>
    </row>
    <row r="14" customFormat="false" ht="15" hidden="false" customHeight="false" outlineLevel="0" collapsed="false">
      <c r="A14" s="13" t="s">
        <v>74</v>
      </c>
      <c r="B14" s="14"/>
      <c r="C14" s="14"/>
      <c r="D14" s="14"/>
      <c r="E14" s="14"/>
      <c r="F14" s="15" t="str">
        <f aca="false">IF(OR(B14="",E14=""),"",E14-B14)</f>
        <v/>
      </c>
    </row>
    <row r="15" customFormat="false" ht="15" hidden="false" customHeight="true" outlineLevel="0" collapsed="false">
      <c r="A15" s="11" t="s">
        <v>75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3" t="s">
        <v>76</v>
      </c>
      <c r="B16" s="14"/>
      <c r="C16" s="14"/>
      <c r="D16" s="14"/>
      <c r="E16" s="14"/>
      <c r="F16" s="15" t="str">
        <f aca="false">IF(OR(B16="",E16=""),"",E16-B16)</f>
        <v/>
      </c>
    </row>
    <row r="17" customFormat="false" ht="15" hidden="false" customHeight="false" outlineLevel="0" collapsed="false">
      <c r="A17" s="13" t="s">
        <v>77</v>
      </c>
      <c r="B17" s="14"/>
      <c r="C17" s="14"/>
      <c r="D17" s="14"/>
      <c r="E17" s="14"/>
      <c r="F17" s="15" t="str">
        <f aca="false">IF(OR(B17="",E17=""),"",E17-B17)</f>
        <v/>
      </c>
    </row>
    <row r="18" customFormat="false" ht="15" hidden="false" customHeight="false" outlineLevel="0" collapsed="false">
      <c r="A18" s="13" t="s">
        <v>78</v>
      </c>
      <c r="B18" s="14"/>
      <c r="C18" s="14"/>
      <c r="D18" s="14"/>
      <c r="E18" s="14"/>
      <c r="F18" s="15" t="str">
        <f aca="false">IF(OR(B18="",E18=""),"",E18-B18)</f>
        <v/>
      </c>
    </row>
    <row r="19" customFormat="false" ht="15" hidden="false" customHeight="false" outlineLevel="0" collapsed="false">
      <c r="A19" s="13" t="s">
        <v>79</v>
      </c>
      <c r="B19" s="14"/>
      <c r="C19" s="14"/>
      <c r="D19" s="14"/>
      <c r="E19" s="14"/>
      <c r="F19" s="15" t="str">
        <f aca="false">IF(OR(B19="",E19=""),"",E19-B19)</f>
        <v/>
      </c>
    </row>
    <row r="20" customFormat="false" ht="15" hidden="false" customHeight="false" outlineLevel="0" collapsed="false">
      <c r="A20" s="13" t="s">
        <v>80</v>
      </c>
      <c r="B20" s="14"/>
      <c r="C20" s="14"/>
      <c r="D20" s="14"/>
      <c r="E20" s="14"/>
      <c r="F20" s="15" t="str">
        <f aca="false">IF(OR(B20="",E20=""),"",E20-B20)</f>
        <v/>
      </c>
    </row>
  </sheetData>
  <mergeCells count="4">
    <mergeCell ref="A1:F1"/>
    <mergeCell ref="A4:F4"/>
    <mergeCell ref="A9:F9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6"/>
    <col collapsed="false" customWidth="true" hidden="false" outlineLevel="0" max="5" min="5" style="0" width="8"/>
    <col collapsed="false" customWidth="true" hidden="false" outlineLevel="0" max="8" min="6" style="0" width="16"/>
  </cols>
  <sheetData>
    <row r="2" customFormat="false" ht="27.75" hidden="false" customHeight="true" outlineLevel="0" collapsed="false">
      <c r="B2" s="29" t="s">
        <v>81</v>
      </c>
      <c r="C2" s="29"/>
      <c r="D2" s="29"/>
      <c r="E2" s="29"/>
      <c r="F2" s="29"/>
      <c r="G2" s="29"/>
      <c r="H2" s="29"/>
    </row>
    <row r="4" customFormat="false" ht="19.5" hidden="false" customHeight="true" outlineLevel="0" collapsed="false">
      <c r="B4" s="30" t="s">
        <v>82</v>
      </c>
      <c r="C4" s="30"/>
      <c r="D4" s="30"/>
      <c r="E4" s="31" t="s">
        <v>83</v>
      </c>
      <c r="F4" s="32" t="s">
        <v>84</v>
      </c>
      <c r="G4" s="32"/>
      <c r="H4" s="32"/>
    </row>
    <row r="5" customFormat="false" ht="19.5" hidden="false" customHeight="true" outlineLevel="0" collapsed="false">
      <c r="B5" s="30"/>
      <c r="C5" s="30"/>
      <c r="D5" s="30"/>
      <c r="E5" s="31"/>
      <c r="F5" s="32"/>
      <c r="G5" s="32"/>
      <c r="H5" s="32"/>
    </row>
    <row r="7" customFormat="false" ht="19.5" hidden="false" customHeight="true" outlineLevel="0" collapsed="false">
      <c r="B7" s="33" t="s">
        <v>85</v>
      </c>
      <c r="C7" s="33"/>
      <c r="D7" s="33"/>
      <c r="E7" s="34" t="s">
        <v>83</v>
      </c>
      <c r="F7" s="35" t="s">
        <v>86</v>
      </c>
      <c r="G7" s="35"/>
      <c r="H7" s="35"/>
    </row>
    <row r="8" customFormat="false" ht="19.5" hidden="false" customHeight="true" outlineLevel="0" collapsed="false">
      <c r="B8" s="33"/>
      <c r="C8" s="33"/>
      <c r="D8" s="33"/>
      <c r="E8" s="34"/>
      <c r="F8" s="35"/>
      <c r="G8" s="35"/>
      <c r="H8" s="35"/>
    </row>
    <row r="10" customFormat="false" ht="19.5" hidden="false" customHeight="true" outlineLevel="0" collapsed="false">
      <c r="B10" s="36" t="s">
        <v>87</v>
      </c>
      <c r="C10" s="36"/>
      <c r="D10" s="36"/>
      <c r="E10" s="37" t="s">
        <v>83</v>
      </c>
      <c r="F10" s="38" t="s">
        <v>88</v>
      </c>
      <c r="G10" s="38"/>
      <c r="H10" s="38"/>
    </row>
    <row r="11" customFormat="false" ht="19.5" hidden="false" customHeight="true" outlineLevel="0" collapsed="false">
      <c r="B11" s="36"/>
      <c r="C11" s="36"/>
      <c r="D11" s="36"/>
      <c r="E11" s="37"/>
      <c r="F11" s="38"/>
      <c r="G11" s="38"/>
      <c r="H11" s="38"/>
    </row>
    <row r="13" customFormat="false" ht="19.5" hidden="false" customHeight="true" outlineLevel="0" collapsed="false">
      <c r="B13" s="39" t="s">
        <v>89</v>
      </c>
      <c r="C13" s="39"/>
      <c r="D13" s="39"/>
      <c r="E13" s="40" t="s">
        <v>83</v>
      </c>
      <c r="F13" s="41" t="s">
        <v>90</v>
      </c>
      <c r="G13" s="41"/>
      <c r="H13" s="41"/>
    </row>
    <row r="14" customFormat="false" ht="19.5" hidden="false" customHeight="true" outlineLevel="0" collapsed="false">
      <c r="B14" s="39"/>
      <c r="C14" s="39"/>
      <c r="D14" s="39"/>
      <c r="E14" s="40"/>
      <c r="F14" s="41"/>
      <c r="G14" s="41"/>
      <c r="H14" s="41"/>
    </row>
    <row r="17" customFormat="false" ht="15" hidden="false" customHeight="true" outlineLevel="0" collapsed="false">
      <c r="B17" s="42" t="s">
        <v>91</v>
      </c>
      <c r="C17" s="42"/>
      <c r="D17" s="42"/>
      <c r="E17" s="42"/>
      <c r="F17" s="42"/>
      <c r="G17" s="42"/>
      <c r="H17" s="42"/>
    </row>
    <row r="18" customFormat="false" ht="30" hidden="false" customHeight="true" outlineLevel="0" collapsed="false">
      <c r="B18" s="43" t="s">
        <v>92</v>
      </c>
      <c r="C18" s="43"/>
      <c r="D18" s="43"/>
      <c r="E18" s="44" t="s">
        <v>93</v>
      </c>
      <c r="F18" s="44"/>
      <c r="G18" s="44"/>
      <c r="H18" s="44"/>
    </row>
    <row r="19" customFormat="false" ht="30" hidden="false" customHeight="true" outlineLevel="0" collapsed="false">
      <c r="B19" s="45" t="s">
        <v>94</v>
      </c>
      <c r="C19" s="45"/>
      <c r="D19" s="45"/>
      <c r="E19" s="46" t="s">
        <v>95</v>
      </c>
      <c r="F19" s="46"/>
      <c r="G19" s="46"/>
      <c r="H19" s="46"/>
    </row>
    <row r="20" customFormat="false" ht="30" hidden="false" customHeight="true" outlineLevel="0" collapsed="false">
      <c r="B20" s="47" t="s">
        <v>96</v>
      </c>
      <c r="C20" s="47"/>
      <c r="D20" s="47"/>
      <c r="E20" s="48" t="s">
        <v>97</v>
      </c>
      <c r="F20" s="48"/>
      <c r="G20" s="48"/>
      <c r="H20" s="48"/>
    </row>
  </sheetData>
  <mergeCells count="20">
    <mergeCell ref="B2:H2"/>
    <mergeCell ref="B4:D5"/>
    <mergeCell ref="E4:E5"/>
    <mergeCell ref="F4:H5"/>
    <mergeCell ref="B7:D8"/>
    <mergeCell ref="E7:E8"/>
    <mergeCell ref="F7:H8"/>
    <mergeCell ref="B10:D11"/>
    <mergeCell ref="E10:E11"/>
    <mergeCell ref="F10:H11"/>
    <mergeCell ref="B13:D14"/>
    <mergeCell ref="E13:E14"/>
    <mergeCell ref="F13:H14"/>
    <mergeCell ref="B17:H17"/>
    <mergeCell ref="B18:D18"/>
    <mergeCell ref="E18:H18"/>
    <mergeCell ref="B19:D19"/>
    <mergeCell ref="E19:H19"/>
    <mergeCell ref="B20:D20"/>
    <mergeCell ref="E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4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0" min="10" style="0" width="16"/>
  </cols>
  <sheetData>
    <row r="2" customFormat="false" ht="15" hidden="false" customHeight="false" outlineLevel="0" collapsed="false">
      <c r="B2" s="49" t="s">
        <v>98</v>
      </c>
      <c r="C2" s="49"/>
      <c r="D2" s="49"/>
      <c r="E2" s="49"/>
      <c r="F2" s="49"/>
      <c r="G2" s="49"/>
      <c r="H2" s="49"/>
      <c r="I2" s="49"/>
      <c r="J2" s="49"/>
    </row>
    <row r="3" customFormat="false" ht="15" hidden="false" customHeight="false" outlineLevel="0" collapsed="false">
      <c r="B3" s="49"/>
      <c r="C3" s="49"/>
      <c r="D3" s="49"/>
      <c r="E3" s="49"/>
      <c r="F3" s="49"/>
      <c r="G3" s="49"/>
      <c r="H3" s="49"/>
      <c r="I3" s="49"/>
      <c r="J3" s="49"/>
    </row>
    <row r="4" customFormat="false" ht="15" hidden="false" customHeight="false" outlineLevel="0" collapsed="false">
      <c r="B4" s="2" t="s">
        <v>99</v>
      </c>
      <c r="C4" s="2"/>
      <c r="D4" s="2"/>
      <c r="E4" s="2"/>
      <c r="F4" s="2"/>
      <c r="G4" s="2"/>
      <c r="H4" s="2"/>
      <c r="I4" s="2"/>
      <c r="J4" s="2"/>
    </row>
    <row r="6" customFormat="false" ht="25.5" hidden="false" customHeight="true" outlineLevel="0" collapsed="false">
      <c r="B6" s="50" t="s">
        <v>100</v>
      </c>
      <c r="C6" s="50"/>
      <c r="D6" s="3" t="s">
        <v>101</v>
      </c>
      <c r="E6" s="3"/>
      <c r="F6" s="5" t="s">
        <v>102</v>
      </c>
      <c r="G6" s="5"/>
    </row>
    <row r="7" customFormat="false" ht="27.75" hidden="false" customHeight="true" outlineLevel="0" collapsed="false">
      <c r="B7" s="51" t="n">
        <f aca="false">SUM('Daily Expenses'!E25:E144)</f>
        <v>0</v>
      </c>
      <c r="C7" s="51"/>
      <c r="D7" s="52" t="n">
        <f aca="false">SUMPRODUCT((('Daily Expenses'!B25:B144)&lt;&gt;"")*1)</f>
        <v>0</v>
      </c>
      <c r="E7" s="52"/>
      <c r="F7" s="53" t="n">
        <f aca="false">IFERROR(ROUND(SUM('Daily Expenses'!E25:E144)/90,0),0)</f>
        <v>0</v>
      </c>
      <c r="G7" s="53"/>
    </row>
    <row r="10" customFormat="false" ht="26.85" hidden="false" customHeight="true" outlineLevel="0" collapsed="false">
      <c r="B10" s="11" t="s">
        <v>103</v>
      </c>
      <c r="C10" s="11"/>
      <c r="D10" s="11"/>
      <c r="E10" s="11"/>
      <c r="F10" s="11"/>
      <c r="G10" s="11"/>
      <c r="I10" s="11" t="s">
        <v>104</v>
      </c>
      <c r="J10" s="11"/>
    </row>
    <row r="11" customFormat="false" ht="26.85" hidden="false" customHeight="false" outlineLevel="0" collapsed="false">
      <c r="B11" s="54" t="s">
        <v>105</v>
      </c>
      <c r="C11" s="54" t="s">
        <v>106</v>
      </c>
      <c r="D11" s="54" t="s">
        <v>107</v>
      </c>
      <c r="E11" s="54" t="s">
        <v>108</v>
      </c>
      <c r="F11" s="54" t="s">
        <v>109</v>
      </c>
      <c r="I11" s="54" t="s">
        <v>110</v>
      </c>
      <c r="J11" s="54" t="s">
        <v>100</v>
      </c>
    </row>
    <row r="12" customFormat="false" ht="15" hidden="false" customHeight="false" outlineLevel="0" collapsed="false">
      <c r="B12" s="13" t="s">
        <v>111</v>
      </c>
      <c r="C12" s="26"/>
      <c r="D12" s="13" t="n">
        <f aca="false">SUMIFS('Daily Expenses'!$E$25:$E$144,'Daily Expenses'!$B$25:$B$144,"&gt;="&amp;DATE(2026,10,1),'Daily Expenses'!$B$25:$B$144,"&lt;"&amp;DATE(2026,11,1))</f>
        <v>0</v>
      </c>
      <c r="E12" s="13" t="str">
        <f aca="false">IF(C12="","",C12-D12)</f>
        <v/>
      </c>
      <c r="F12" s="55" t="str">
        <f aca="false">IF(OR(C12="",C12=0),"",D12/C12)</f>
        <v/>
      </c>
      <c r="I12" s="13" t="s">
        <v>112</v>
      </c>
      <c r="J12" s="13" t="n">
        <f aca="false">SUMIFS('Daily Expenses'!$E$25:$E$144,'Daily Expenses'!$C$25:$C$144,I12)</f>
        <v>0</v>
      </c>
    </row>
    <row r="13" customFormat="false" ht="15" hidden="false" customHeight="false" outlineLevel="0" collapsed="false">
      <c r="B13" s="13" t="s">
        <v>113</v>
      </c>
      <c r="C13" s="26"/>
      <c r="D13" s="13" t="n">
        <f aca="false">SUMIFS('Daily Expenses'!$E$25:$E$144,'Daily Expenses'!$B$25:$B$144,"&gt;="&amp;DATE(2026,11,1),'Daily Expenses'!$B$25:$B$144,"&lt;"&amp;DATE(2026,12,1))</f>
        <v>0</v>
      </c>
      <c r="E13" s="13" t="str">
        <f aca="false">IF(C13="","",C13-D13)</f>
        <v/>
      </c>
      <c r="F13" s="55" t="str">
        <f aca="false">IF(OR(C13="",C13=0),"",D13/C13)</f>
        <v/>
      </c>
      <c r="I13" s="13" t="s">
        <v>114</v>
      </c>
      <c r="J13" s="13" t="n">
        <f aca="false">SUMIFS('Daily Expenses'!$E$25:$E$144,'Daily Expenses'!$C$25:$C$144,I13)</f>
        <v>0</v>
      </c>
    </row>
    <row r="14" customFormat="false" ht="15" hidden="false" customHeight="false" outlineLevel="0" collapsed="false">
      <c r="B14" s="13" t="s">
        <v>115</v>
      </c>
      <c r="C14" s="26"/>
      <c r="D14" s="13" t="n">
        <f aca="false">SUMIFS('Daily Expenses'!$E$25:$E$144,'Daily Expenses'!$B$25:$B$144,"&gt;="&amp;DATE(2026,12,1),'Daily Expenses'!$B$25:$B$144,"&lt;"&amp;DATE(2027,1,1))</f>
        <v>0</v>
      </c>
      <c r="E14" s="13" t="str">
        <f aca="false">IF(C14="","",C14-D14)</f>
        <v/>
      </c>
      <c r="F14" s="55" t="str">
        <f aca="false">IF(OR(C14="",C14=0),"",D14/C14)</f>
        <v/>
      </c>
      <c r="I14" s="13" t="s">
        <v>116</v>
      </c>
      <c r="J14" s="13" t="n">
        <f aca="false">SUMIFS('Daily Expenses'!$E$25:$E$144,'Daily Expenses'!$C$25:$C$144,I14)</f>
        <v>0</v>
      </c>
    </row>
    <row r="15" customFormat="false" ht="15" hidden="false" customHeight="false" outlineLevel="0" collapsed="false">
      <c r="I15" s="13" t="s">
        <v>117</v>
      </c>
      <c r="J15" s="13" t="n">
        <f aca="false">SUMIFS('Daily Expenses'!$E$25:$E$144,'Daily Expenses'!$C$25:$C$144,I15)</f>
        <v>0</v>
      </c>
    </row>
    <row r="16" customFormat="false" ht="15" hidden="false" customHeight="false" outlineLevel="0" collapsed="false">
      <c r="I16" s="13" t="s">
        <v>118</v>
      </c>
      <c r="J16" s="13" t="n">
        <f aca="false">SUMIFS('Daily Expenses'!$E$25:$E$144,'Daily Expenses'!$C$25:$C$144,I16)</f>
        <v>0</v>
      </c>
    </row>
    <row r="17" customFormat="false" ht="15" hidden="false" customHeight="false" outlineLevel="0" collapsed="false">
      <c r="I17" s="13" t="s">
        <v>119</v>
      </c>
      <c r="J17" s="13" t="n">
        <f aca="false">SUMIFS('Daily Expenses'!$E$25:$E$144,'Daily Expenses'!$C$25:$C$144,I17)</f>
        <v>0</v>
      </c>
    </row>
    <row r="18" customFormat="false" ht="15" hidden="false" customHeight="false" outlineLevel="0" collapsed="false">
      <c r="I18" s="13" t="s">
        <v>120</v>
      </c>
      <c r="J18" s="13" t="n">
        <f aca="false">SUMIFS('Daily Expenses'!$E$25:$E$144,'Daily Expenses'!$C$25:$C$144,I18)</f>
        <v>0</v>
      </c>
    </row>
    <row r="23" customFormat="false" ht="21.75" hidden="false" customHeight="true" outlineLevel="0" collapsed="false">
      <c r="B23" s="11" t="s">
        <v>121</v>
      </c>
      <c r="C23" s="11"/>
      <c r="D23" s="11"/>
      <c r="E23" s="11"/>
      <c r="F23" s="11"/>
    </row>
    <row r="24" customFormat="false" ht="24" hidden="false" customHeight="true" outlineLevel="0" collapsed="false">
      <c r="B24" s="12" t="s">
        <v>23</v>
      </c>
      <c r="C24" s="12" t="s">
        <v>110</v>
      </c>
      <c r="D24" s="12" t="s">
        <v>122</v>
      </c>
      <c r="E24" s="12" t="s">
        <v>123</v>
      </c>
      <c r="F24" s="12" t="s">
        <v>124</v>
      </c>
    </row>
    <row r="25" customFormat="false" ht="15" hidden="false" customHeight="false" outlineLevel="0" collapsed="false">
      <c r="B25" s="56"/>
      <c r="C25" s="23"/>
      <c r="D25" s="23"/>
      <c r="E25" s="57"/>
      <c r="F25" s="23"/>
    </row>
    <row r="26" customFormat="false" ht="15" hidden="false" customHeight="false" outlineLevel="0" collapsed="false">
      <c r="B26" s="58"/>
      <c r="C26" s="13"/>
      <c r="D26" s="13"/>
      <c r="E26" s="59"/>
      <c r="F26" s="13"/>
    </row>
    <row r="27" customFormat="false" ht="15" hidden="false" customHeight="false" outlineLevel="0" collapsed="false">
      <c r="B27" s="56"/>
      <c r="C27" s="23"/>
      <c r="D27" s="23"/>
      <c r="E27" s="57"/>
      <c r="F27" s="23"/>
    </row>
    <row r="28" customFormat="false" ht="15" hidden="false" customHeight="false" outlineLevel="0" collapsed="false">
      <c r="B28" s="58"/>
      <c r="C28" s="13"/>
      <c r="D28" s="13"/>
      <c r="E28" s="59"/>
      <c r="F28" s="13"/>
    </row>
    <row r="29" customFormat="false" ht="15" hidden="false" customHeight="false" outlineLevel="0" collapsed="false">
      <c r="B29" s="56"/>
      <c r="C29" s="23"/>
      <c r="D29" s="23"/>
      <c r="E29" s="57"/>
      <c r="F29" s="23"/>
    </row>
    <row r="30" customFormat="false" ht="15" hidden="false" customHeight="false" outlineLevel="0" collapsed="false">
      <c r="B30" s="58"/>
      <c r="C30" s="13"/>
      <c r="D30" s="13"/>
      <c r="E30" s="59"/>
      <c r="F30" s="13"/>
    </row>
    <row r="31" customFormat="false" ht="15" hidden="false" customHeight="false" outlineLevel="0" collapsed="false">
      <c r="B31" s="56"/>
      <c r="C31" s="23"/>
      <c r="D31" s="23"/>
      <c r="E31" s="57"/>
      <c r="F31" s="23"/>
    </row>
    <row r="32" customFormat="false" ht="15" hidden="false" customHeight="false" outlineLevel="0" collapsed="false">
      <c r="B32" s="58"/>
      <c r="C32" s="13"/>
      <c r="D32" s="13"/>
      <c r="E32" s="59"/>
      <c r="F32" s="13"/>
    </row>
    <row r="33" customFormat="false" ht="15" hidden="false" customHeight="false" outlineLevel="0" collapsed="false">
      <c r="B33" s="56"/>
      <c r="C33" s="23"/>
      <c r="D33" s="23"/>
      <c r="E33" s="57"/>
      <c r="F33" s="23"/>
    </row>
    <row r="34" customFormat="false" ht="15" hidden="false" customHeight="false" outlineLevel="0" collapsed="false">
      <c r="B34" s="58"/>
      <c r="C34" s="13"/>
      <c r="D34" s="13"/>
      <c r="E34" s="59"/>
      <c r="F34" s="13"/>
    </row>
    <row r="35" customFormat="false" ht="15" hidden="false" customHeight="false" outlineLevel="0" collapsed="false">
      <c r="B35" s="56"/>
      <c r="C35" s="23"/>
      <c r="D35" s="23"/>
      <c r="E35" s="57"/>
      <c r="F35" s="23"/>
    </row>
    <row r="36" customFormat="false" ht="15" hidden="false" customHeight="false" outlineLevel="0" collapsed="false">
      <c r="B36" s="58"/>
      <c r="C36" s="13"/>
      <c r="D36" s="13"/>
      <c r="E36" s="59"/>
      <c r="F36" s="13"/>
    </row>
    <row r="37" customFormat="false" ht="15" hidden="false" customHeight="false" outlineLevel="0" collapsed="false">
      <c r="B37" s="56"/>
      <c r="C37" s="23"/>
      <c r="D37" s="23"/>
      <c r="E37" s="57"/>
      <c r="F37" s="23"/>
    </row>
    <row r="38" customFormat="false" ht="15" hidden="false" customHeight="false" outlineLevel="0" collapsed="false">
      <c r="B38" s="58"/>
      <c r="C38" s="13"/>
      <c r="D38" s="13"/>
      <c r="E38" s="59"/>
      <c r="F38" s="13"/>
    </row>
    <row r="39" customFormat="false" ht="15" hidden="false" customHeight="false" outlineLevel="0" collapsed="false">
      <c r="B39" s="56"/>
      <c r="C39" s="23"/>
      <c r="D39" s="23"/>
      <c r="E39" s="57"/>
      <c r="F39" s="23"/>
    </row>
    <row r="40" customFormat="false" ht="15" hidden="false" customHeight="false" outlineLevel="0" collapsed="false">
      <c r="B40" s="58"/>
      <c r="C40" s="13"/>
      <c r="D40" s="13"/>
      <c r="E40" s="59"/>
      <c r="F40" s="13"/>
    </row>
    <row r="41" customFormat="false" ht="15" hidden="false" customHeight="false" outlineLevel="0" collapsed="false">
      <c r="B41" s="56"/>
      <c r="C41" s="23"/>
      <c r="D41" s="23"/>
      <c r="E41" s="57"/>
      <c r="F41" s="23"/>
    </row>
    <row r="42" customFormat="false" ht="15" hidden="false" customHeight="false" outlineLevel="0" collapsed="false">
      <c r="B42" s="58"/>
      <c r="C42" s="13"/>
      <c r="D42" s="13"/>
      <c r="E42" s="59"/>
      <c r="F42" s="13"/>
    </row>
    <row r="43" customFormat="false" ht="15" hidden="false" customHeight="false" outlineLevel="0" collapsed="false">
      <c r="B43" s="56"/>
      <c r="C43" s="23"/>
      <c r="D43" s="23"/>
      <c r="E43" s="57"/>
      <c r="F43" s="23"/>
    </row>
    <row r="44" customFormat="false" ht="15" hidden="false" customHeight="false" outlineLevel="0" collapsed="false">
      <c r="B44" s="58"/>
      <c r="C44" s="13"/>
      <c r="D44" s="13"/>
      <c r="E44" s="59"/>
      <c r="F44" s="13"/>
    </row>
    <row r="45" customFormat="false" ht="15" hidden="false" customHeight="false" outlineLevel="0" collapsed="false">
      <c r="B45" s="56"/>
      <c r="C45" s="23"/>
      <c r="D45" s="23"/>
      <c r="E45" s="57"/>
      <c r="F45" s="23"/>
    </row>
    <row r="46" customFormat="false" ht="15" hidden="false" customHeight="false" outlineLevel="0" collapsed="false">
      <c r="B46" s="58"/>
      <c r="C46" s="13"/>
      <c r="D46" s="13"/>
      <c r="E46" s="59"/>
      <c r="F46" s="13"/>
    </row>
    <row r="47" customFormat="false" ht="15" hidden="false" customHeight="false" outlineLevel="0" collapsed="false">
      <c r="B47" s="56"/>
      <c r="C47" s="23"/>
      <c r="D47" s="23"/>
      <c r="E47" s="57"/>
      <c r="F47" s="23"/>
    </row>
    <row r="48" customFormat="false" ht="15" hidden="false" customHeight="false" outlineLevel="0" collapsed="false">
      <c r="B48" s="58"/>
      <c r="C48" s="13"/>
      <c r="D48" s="13"/>
      <c r="E48" s="59"/>
      <c r="F48" s="13"/>
    </row>
    <row r="49" customFormat="false" ht="15" hidden="false" customHeight="false" outlineLevel="0" collapsed="false">
      <c r="B49" s="56"/>
      <c r="C49" s="23"/>
      <c r="D49" s="23"/>
      <c r="E49" s="57"/>
      <c r="F49" s="23"/>
    </row>
    <row r="50" customFormat="false" ht="15" hidden="false" customHeight="false" outlineLevel="0" collapsed="false">
      <c r="B50" s="58"/>
      <c r="C50" s="13"/>
      <c r="D50" s="13"/>
      <c r="E50" s="59"/>
      <c r="F50" s="13"/>
    </row>
    <row r="51" customFormat="false" ht="15" hidden="false" customHeight="false" outlineLevel="0" collapsed="false">
      <c r="B51" s="56"/>
      <c r="C51" s="23"/>
      <c r="D51" s="23"/>
      <c r="E51" s="57"/>
      <c r="F51" s="23"/>
    </row>
    <row r="52" customFormat="false" ht="15" hidden="false" customHeight="false" outlineLevel="0" collapsed="false">
      <c r="B52" s="58"/>
      <c r="C52" s="13"/>
      <c r="D52" s="13"/>
      <c r="E52" s="59"/>
      <c r="F52" s="13"/>
    </row>
    <row r="53" customFormat="false" ht="15" hidden="false" customHeight="false" outlineLevel="0" collapsed="false">
      <c r="B53" s="56"/>
      <c r="C53" s="23"/>
      <c r="D53" s="23"/>
      <c r="E53" s="57"/>
      <c r="F53" s="23"/>
    </row>
    <row r="54" customFormat="false" ht="15" hidden="false" customHeight="false" outlineLevel="0" collapsed="false">
      <c r="B54" s="58"/>
      <c r="C54" s="13"/>
      <c r="D54" s="13"/>
      <c r="E54" s="59"/>
      <c r="F54" s="13"/>
    </row>
    <row r="55" customFormat="false" ht="15" hidden="false" customHeight="false" outlineLevel="0" collapsed="false">
      <c r="B55" s="56"/>
      <c r="C55" s="23"/>
      <c r="D55" s="23"/>
      <c r="E55" s="57"/>
      <c r="F55" s="23"/>
    </row>
    <row r="56" customFormat="false" ht="15" hidden="false" customHeight="false" outlineLevel="0" collapsed="false">
      <c r="B56" s="58"/>
      <c r="C56" s="13"/>
      <c r="D56" s="13"/>
      <c r="E56" s="59"/>
      <c r="F56" s="13"/>
    </row>
    <row r="57" customFormat="false" ht="15" hidden="false" customHeight="false" outlineLevel="0" collapsed="false">
      <c r="B57" s="56"/>
      <c r="C57" s="23"/>
      <c r="D57" s="23"/>
      <c r="E57" s="57"/>
      <c r="F57" s="23"/>
    </row>
    <row r="58" customFormat="false" ht="15" hidden="false" customHeight="false" outlineLevel="0" collapsed="false">
      <c r="B58" s="58"/>
      <c r="C58" s="13"/>
      <c r="D58" s="13"/>
      <c r="E58" s="59"/>
      <c r="F58" s="13"/>
    </row>
    <row r="59" customFormat="false" ht="15" hidden="false" customHeight="false" outlineLevel="0" collapsed="false">
      <c r="B59" s="56"/>
      <c r="C59" s="23"/>
      <c r="D59" s="23"/>
      <c r="E59" s="57"/>
      <c r="F59" s="23"/>
    </row>
    <row r="60" customFormat="false" ht="15" hidden="false" customHeight="false" outlineLevel="0" collapsed="false">
      <c r="B60" s="58"/>
      <c r="C60" s="13"/>
      <c r="D60" s="13"/>
      <c r="E60" s="59"/>
      <c r="F60" s="13"/>
    </row>
    <row r="61" customFormat="false" ht="15" hidden="false" customHeight="false" outlineLevel="0" collapsed="false">
      <c r="B61" s="56"/>
      <c r="C61" s="23"/>
      <c r="D61" s="23"/>
      <c r="E61" s="57"/>
      <c r="F61" s="23"/>
    </row>
    <row r="62" customFormat="false" ht="15" hidden="false" customHeight="false" outlineLevel="0" collapsed="false">
      <c r="B62" s="58"/>
      <c r="C62" s="13"/>
      <c r="D62" s="13"/>
      <c r="E62" s="59"/>
      <c r="F62" s="13"/>
    </row>
    <row r="63" customFormat="false" ht="15" hidden="false" customHeight="false" outlineLevel="0" collapsed="false">
      <c r="B63" s="56"/>
      <c r="C63" s="23"/>
      <c r="D63" s="23"/>
      <c r="E63" s="57"/>
      <c r="F63" s="23"/>
    </row>
    <row r="64" customFormat="false" ht="15" hidden="false" customHeight="false" outlineLevel="0" collapsed="false">
      <c r="B64" s="58"/>
      <c r="C64" s="13"/>
      <c r="D64" s="13"/>
      <c r="E64" s="59"/>
      <c r="F64" s="13"/>
    </row>
    <row r="65" customFormat="false" ht="15" hidden="false" customHeight="false" outlineLevel="0" collapsed="false">
      <c r="B65" s="56"/>
      <c r="C65" s="23"/>
      <c r="D65" s="23"/>
      <c r="E65" s="57"/>
      <c r="F65" s="23"/>
    </row>
    <row r="66" customFormat="false" ht="15" hidden="false" customHeight="false" outlineLevel="0" collapsed="false">
      <c r="B66" s="58"/>
      <c r="C66" s="13"/>
      <c r="D66" s="13"/>
      <c r="E66" s="59"/>
      <c r="F66" s="13"/>
    </row>
    <row r="67" customFormat="false" ht="15" hidden="false" customHeight="false" outlineLevel="0" collapsed="false">
      <c r="B67" s="56"/>
      <c r="C67" s="23"/>
      <c r="D67" s="23"/>
      <c r="E67" s="57"/>
      <c r="F67" s="23"/>
    </row>
    <row r="68" customFormat="false" ht="15" hidden="false" customHeight="false" outlineLevel="0" collapsed="false">
      <c r="B68" s="58"/>
      <c r="C68" s="13"/>
      <c r="D68" s="13"/>
      <c r="E68" s="59"/>
      <c r="F68" s="13"/>
    </row>
    <row r="69" customFormat="false" ht="15" hidden="false" customHeight="false" outlineLevel="0" collapsed="false">
      <c r="B69" s="56"/>
      <c r="C69" s="23"/>
      <c r="D69" s="23"/>
      <c r="E69" s="57"/>
      <c r="F69" s="23"/>
    </row>
    <row r="70" customFormat="false" ht="15" hidden="false" customHeight="false" outlineLevel="0" collapsed="false">
      <c r="B70" s="58"/>
      <c r="C70" s="13"/>
      <c r="D70" s="13"/>
      <c r="E70" s="59"/>
      <c r="F70" s="13"/>
    </row>
    <row r="71" customFormat="false" ht="15" hidden="false" customHeight="false" outlineLevel="0" collapsed="false">
      <c r="B71" s="56"/>
      <c r="C71" s="23"/>
      <c r="D71" s="23"/>
      <c r="E71" s="57"/>
      <c r="F71" s="23"/>
    </row>
    <row r="72" customFormat="false" ht="15" hidden="false" customHeight="false" outlineLevel="0" collapsed="false">
      <c r="B72" s="58"/>
      <c r="C72" s="13"/>
      <c r="D72" s="13"/>
      <c r="E72" s="59"/>
      <c r="F72" s="13"/>
    </row>
    <row r="73" customFormat="false" ht="15" hidden="false" customHeight="false" outlineLevel="0" collapsed="false">
      <c r="B73" s="56"/>
      <c r="C73" s="23"/>
      <c r="D73" s="23"/>
      <c r="E73" s="57"/>
      <c r="F73" s="23"/>
    </row>
    <row r="74" customFormat="false" ht="15" hidden="false" customHeight="false" outlineLevel="0" collapsed="false">
      <c r="B74" s="58"/>
      <c r="C74" s="13"/>
      <c r="D74" s="13"/>
      <c r="E74" s="59"/>
      <c r="F74" s="13"/>
    </row>
    <row r="75" customFormat="false" ht="15" hidden="false" customHeight="false" outlineLevel="0" collapsed="false">
      <c r="B75" s="56"/>
      <c r="C75" s="23"/>
      <c r="D75" s="23"/>
      <c r="E75" s="57"/>
      <c r="F75" s="23"/>
    </row>
    <row r="76" customFormat="false" ht="15" hidden="false" customHeight="false" outlineLevel="0" collapsed="false">
      <c r="B76" s="58"/>
      <c r="C76" s="13"/>
      <c r="D76" s="13"/>
      <c r="E76" s="59"/>
      <c r="F76" s="13"/>
    </row>
    <row r="77" customFormat="false" ht="15" hidden="false" customHeight="false" outlineLevel="0" collapsed="false">
      <c r="B77" s="56"/>
      <c r="C77" s="23"/>
      <c r="D77" s="23"/>
      <c r="E77" s="57"/>
      <c r="F77" s="23"/>
    </row>
    <row r="78" customFormat="false" ht="15" hidden="false" customHeight="false" outlineLevel="0" collapsed="false">
      <c r="B78" s="58"/>
      <c r="C78" s="13"/>
      <c r="D78" s="13"/>
      <c r="E78" s="59"/>
      <c r="F78" s="13"/>
    </row>
    <row r="79" customFormat="false" ht="15" hidden="false" customHeight="false" outlineLevel="0" collapsed="false">
      <c r="B79" s="56"/>
      <c r="C79" s="23"/>
      <c r="D79" s="23"/>
      <c r="E79" s="57"/>
      <c r="F79" s="23"/>
    </row>
    <row r="80" customFormat="false" ht="15" hidden="false" customHeight="false" outlineLevel="0" collapsed="false">
      <c r="B80" s="58"/>
      <c r="C80" s="13"/>
      <c r="D80" s="13"/>
      <c r="E80" s="59"/>
      <c r="F80" s="13"/>
    </row>
    <row r="81" customFormat="false" ht="15" hidden="false" customHeight="false" outlineLevel="0" collapsed="false">
      <c r="B81" s="56"/>
      <c r="C81" s="23"/>
      <c r="D81" s="23"/>
      <c r="E81" s="57"/>
      <c r="F81" s="23"/>
    </row>
    <row r="82" customFormat="false" ht="15" hidden="false" customHeight="false" outlineLevel="0" collapsed="false">
      <c r="B82" s="58"/>
      <c r="C82" s="13"/>
      <c r="D82" s="13"/>
      <c r="E82" s="59"/>
      <c r="F82" s="13"/>
    </row>
    <row r="83" customFormat="false" ht="15" hidden="false" customHeight="false" outlineLevel="0" collapsed="false">
      <c r="B83" s="56"/>
      <c r="C83" s="23"/>
      <c r="D83" s="23"/>
      <c r="E83" s="57"/>
      <c r="F83" s="23"/>
    </row>
    <row r="84" customFormat="false" ht="15" hidden="false" customHeight="false" outlineLevel="0" collapsed="false">
      <c r="B84" s="58"/>
      <c r="C84" s="13"/>
      <c r="D84" s="13"/>
      <c r="E84" s="59"/>
      <c r="F84" s="13"/>
    </row>
    <row r="85" customFormat="false" ht="15" hidden="false" customHeight="false" outlineLevel="0" collapsed="false">
      <c r="B85" s="56"/>
      <c r="C85" s="23"/>
      <c r="D85" s="23"/>
      <c r="E85" s="57"/>
      <c r="F85" s="23"/>
    </row>
    <row r="86" customFormat="false" ht="15" hidden="false" customHeight="false" outlineLevel="0" collapsed="false">
      <c r="B86" s="58"/>
      <c r="C86" s="13"/>
      <c r="D86" s="13"/>
      <c r="E86" s="59"/>
      <c r="F86" s="13"/>
    </row>
    <row r="87" customFormat="false" ht="15" hidden="false" customHeight="false" outlineLevel="0" collapsed="false">
      <c r="B87" s="56"/>
      <c r="C87" s="23"/>
      <c r="D87" s="23"/>
      <c r="E87" s="57"/>
      <c r="F87" s="23"/>
    </row>
    <row r="88" customFormat="false" ht="15" hidden="false" customHeight="false" outlineLevel="0" collapsed="false">
      <c r="B88" s="58"/>
      <c r="C88" s="13"/>
      <c r="D88" s="13"/>
      <c r="E88" s="59"/>
      <c r="F88" s="13"/>
    </row>
    <row r="89" customFormat="false" ht="15" hidden="false" customHeight="false" outlineLevel="0" collapsed="false">
      <c r="B89" s="56"/>
      <c r="C89" s="23"/>
      <c r="D89" s="23"/>
      <c r="E89" s="57"/>
      <c r="F89" s="23"/>
    </row>
    <row r="90" customFormat="false" ht="15" hidden="false" customHeight="false" outlineLevel="0" collapsed="false">
      <c r="B90" s="58"/>
      <c r="C90" s="13"/>
      <c r="D90" s="13"/>
      <c r="E90" s="59"/>
      <c r="F90" s="13"/>
    </row>
    <row r="91" customFormat="false" ht="15" hidden="false" customHeight="false" outlineLevel="0" collapsed="false">
      <c r="B91" s="56"/>
      <c r="C91" s="23"/>
      <c r="D91" s="23"/>
      <c r="E91" s="57"/>
      <c r="F91" s="23"/>
    </row>
    <row r="92" customFormat="false" ht="15" hidden="false" customHeight="false" outlineLevel="0" collapsed="false">
      <c r="B92" s="58"/>
      <c r="C92" s="13"/>
      <c r="D92" s="13"/>
      <c r="E92" s="59"/>
      <c r="F92" s="13"/>
    </row>
    <row r="93" customFormat="false" ht="15" hidden="false" customHeight="false" outlineLevel="0" collapsed="false">
      <c r="B93" s="56"/>
      <c r="C93" s="23"/>
      <c r="D93" s="23"/>
      <c r="E93" s="57"/>
      <c r="F93" s="23"/>
    </row>
    <row r="94" customFormat="false" ht="15" hidden="false" customHeight="false" outlineLevel="0" collapsed="false">
      <c r="B94" s="58"/>
      <c r="C94" s="13"/>
      <c r="D94" s="13"/>
      <c r="E94" s="59"/>
      <c r="F94" s="13"/>
    </row>
    <row r="95" customFormat="false" ht="15" hidden="false" customHeight="false" outlineLevel="0" collapsed="false">
      <c r="B95" s="56"/>
      <c r="C95" s="23"/>
      <c r="D95" s="23"/>
      <c r="E95" s="57"/>
      <c r="F95" s="23"/>
    </row>
    <row r="96" customFormat="false" ht="15" hidden="false" customHeight="false" outlineLevel="0" collapsed="false">
      <c r="B96" s="58"/>
      <c r="C96" s="13"/>
      <c r="D96" s="13"/>
      <c r="E96" s="59"/>
      <c r="F96" s="13"/>
    </row>
    <row r="97" customFormat="false" ht="15" hidden="false" customHeight="false" outlineLevel="0" collapsed="false">
      <c r="B97" s="56"/>
      <c r="C97" s="23"/>
      <c r="D97" s="23"/>
      <c r="E97" s="57"/>
      <c r="F97" s="23"/>
    </row>
    <row r="98" customFormat="false" ht="15" hidden="false" customHeight="false" outlineLevel="0" collapsed="false">
      <c r="B98" s="58"/>
      <c r="C98" s="13"/>
      <c r="D98" s="13"/>
      <c r="E98" s="59"/>
      <c r="F98" s="13"/>
    </row>
    <row r="99" customFormat="false" ht="15" hidden="false" customHeight="false" outlineLevel="0" collapsed="false">
      <c r="B99" s="56"/>
      <c r="C99" s="23"/>
      <c r="D99" s="23"/>
      <c r="E99" s="57"/>
      <c r="F99" s="23"/>
    </row>
    <row r="100" customFormat="false" ht="15" hidden="false" customHeight="false" outlineLevel="0" collapsed="false">
      <c r="B100" s="58"/>
      <c r="C100" s="13"/>
      <c r="D100" s="13"/>
      <c r="E100" s="59"/>
      <c r="F100" s="13"/>
    </row>
    <row r="101" customFormat="false" ht="15" hidden="false" customHeight="false" outlineLevel="0" collapsed="false">
      <c r="B101" s="56"/>
      <c r="C101" s="23"/>
      <c r="D101" s="23"/>
      <c r="E101" s="57"/>
      <c r="F101" s="23"/>
    </row>
    <row r="102" customFormat="false" ht="15" hidden="false" customHeight="false" outlineLevel="0" collapsed="false">
      <c r="B102" s="58"/>
      <c r="C102" s="13"/>
      <c r="D102" s="13"/>
      <c r="E102" s="59"/>
      <c r="F102" s="13"/>
    </row>
    <row r="103" customFormat="false" ht="15" hidden="false" customHeight="false" outlineLevel="0" collapsed="false">
      <c r="B103" s="56"/>
      <c r="C103" s="23"/>
      <c r="D103" s="23"/>
      <c r="E103" s="57"/>
      <c r="F103" s="23"/>
    </row>
    <row r="104" customFormat="false" ht="15" hidden="false" customHeight="false" outlineLevel="0" collapsed="false">
      <c r="B104" s="58"/>
      <c r="C104" s="13"/>
      <c r="D104" s="13"/>
      <c r="E104" s="59"/>
      <c r="F104" s="13"/>
    </row>
    <row r="105" customFormat="false" ht="15" hidden="false" customHeight="false" outlineLevel="0" collapsed="false">
      <c r="B105" s="56"/>
      <c r="C105" s="23"/>
      <c r="D105" s="23"/>
      <c r="E105" s="57"/>
      <c r="F105" s="23"/>
    </row>
    <row r="106" customFormat="false" ht="15" hidden="false" customHeight="false" outlineLevel="0" collapsed="false">
      <c r="B106" s="58"/>
      <c r="C106" s="13"/>
      <c r="D106" s="13"/>
      <c r="E106" s="59"/>
      <c r="F106" s="13"/>
    </row>
    <row r="107" customFormat="false" ht="15" hidden="false" customHeight="false" outlineLevel="0" collapsed="false">
      <c r="B107" s="56"/>
      <c r="C107" s="23"/>
      <c r="D107" s="23"/>
      <c r="E107" s="57"/>
      <c r="F107" s="23"/>
    </row>
    <row r="108" customFormat="false" ht="15" hidden="false" customHeight="false" outlineLevel="0" collapsed="false">
      <c r="B108" s="58"/>
      <c r="C108" s="13"/>
      <c r="D108" s="13"/>
      <c r="E108" s="59"/>
      <c r="F108" s="13"/>
    </row>
    <row r="109" customFormat="false" ht="15" hidden="false" customHeight="false" outlineLevel="0" collapsed="false">
      <c r="B109" s="56"/>
      <c r="C109" s="23"/>
      <c r="D109" s="23"/>
      <c r="E109" s="57"/>
      <c r="F109" s="23"/>
    </row>
    <row r="110" customFormat="false" ht="15" hidden="false" customHeight="false" outlineLevel="0" collapsed="false">
      <c r="B110" s="58"/>
      <c r="C110" s="13"/>
      <c r="D110" s="13"/>
      <c r="E110" s="59"/>
      <c r="F110" s="13"/>
    </row>
    <row r="111" customFormat="false" ht="15" hidden="false" customHeight="false" outlineLevel="0" collapsed="false">
      <c r="B111" s="56"/>
      <c r="C111" s="23"/>
      <c r="D111" s="23"/>
      <c r="E111" s="57"/>
      <c r="F111" s="23"/>
    </row>
    <row r="112" customFormat="false" ht="15" hidden="false" customHeight="false" outlineLevel="0" collapsed="false">
      <c r="B112" s="58"/>
      <c r="C112" s="13"/>
      <c r="D112" s="13"/>
      <c r="E112" s="59"/>
      <c r="F112" s="13"/>
    </row>
    <row r="113" customFormat="false" ht="15" hidden="false" customHeight="false" outlineLevel="0" collapsed="false">
      <c r="B113" s="56"/>
      <c r="C113" s="23"/>
      <c r="D113" s="23"/>
      <c r="E113" s="57"/>
      <c r="F113" s="23"/>
    </row>
    <row r="114" customFormat="false" ht="15" hidden="false" customHeight="false" outlineLevel="0" collapsed="false">
      <c r="B114" s="58"/>
      <c r="C114" s="13"/>
      <c r="D114" s="13"/>
      <c r="E114" s="59"/>
      <c r="F114" s="13"/>
    </row>
    <row r="115" customFormat="false" ht="15" hidden="false" customHeight="false" outlineLevel="0" collapsed="false">
      <c r="B115" s="56"/>
      <c r="C115" s="23"/>
      <c r="D115" s="23"/>
      <c r="E115" s="57"/>
      <c r="F115" s="23"/>
    </row>
    <row r="116" customFormat="false" ht="15" hidden="false" customHeight="false" outlineLevel="0" collapsed="false">
      <c r="B116" s="58"/>
      <c r="C116" s="13"/>
      <c r="D116" s="13"/>
      <c r="E116" s="59"/>
      <c r="F116" s="13"/>
    </row>
    <row r="117" customFormat="false" ht="15" hidden="false" customHeight="false" outlineLevel="0" collapsed="false">
      <c r="B117" s="56"/>
      <c r="C117" s="23"/>
      <c r="D117" s="23"/>
      <c r="E117" s="57"/>
      <c r="F117" s="23"/>
    </row>
    <row r="118" customFormat="false" ht="15" hidden="false" customHeight="false" outlineLevel="0" collapsed="false">
      <c r="B118" s="58"/>
      <c r="C118" s="13"/>
      <c r="D118" s="13"/>
      <c r="E118" s="59"/>
      <c r="F118" s="13"/>
    </row>
    <row r="119" customFormat="false" ht="15" hidden="false" customHeight="false" outlineLevel="0" collapsed="false">
      <c r="B119" s="56"/>
      <c r="C119" s="23"/>
      <c r="D119" s="23"/>
      <c r="E119" s="57"/>
      <c r="F119" s="23"/>
    </row>
    <row r="120" customFormat="false" ht="15" hidden="false" customHeight="false" outlineLevel="0" collapsed="false">
      <c r="B120" s="58"/>
      <c r="C120" s="13"/>
      <c r="D120" s="13"/>
      <c r="E120" s="59"/>
      <c r="F120" s="13"/>
    </row>
    <row r="121" customFormat="false" ht="15" hidden="false" customHeight="false" outlineLevel="0" collapsed="false">
      <c r="B121" s="56"/>
      <c r="C121" s="23"/>
      <c r="D121" s="23"/>
      <c r="E121" s="57"/>
      <c r="F121" s="23"/>
    </row>
    <row r="122" customFormat="false" ht="15" hidden="false" customHeight="false" outlineLevel="0" collapsed="false">
      <c r="B122" s="58"/>
      <c r="C122" s="13"/>
      <c r="D122" s="13"/>
      <c r="E122" s="59"/>
      <c r="F122" s="13"/>
    </row>
    <row r="123" customFormat="false" ht="15" hidden="false" customHeight="false" outlineLevel="0" collapsed="false">
      <c r="B123" s="56"/>
      <c r="C123" s="23"/>
      <c r="D123" s="23"/>
      <c r="E123" s="57"/>
      <c r="F123" s="23"/>
    </row>
    <row r="124" customFormat="false" ht="15" hidden="false" customHeight="false" outlineLevel="0" collapsed="false">
      <c r="B124" s="58"/>
      <c r="C124" s="13"/>
      <c r="D124" s="13"/>
      <c r="E124" s="59"/>
      <c r="F124" s="13"/>
    </row>
    <row r="125" customFormat="false" ht="15" hidden="false" customHeight="false" outlineLevel="0" collapsed="false">
      <c r="B125" s="56"/>
      <c r="C125" s="23"/>
      <c r="D125" s="23"/>
      <c r="E125" s="57"/>
      <c r="F125" s="23"/>
    </row>
    <row r="126" customFormat="false" ht="15" hidden="false" customHeight="false" outlineLevel="0" collapsed="false">
      <c r="B126" s="58"/>
      <c r="C126" s="13"/>
      <c r="D126" s="13"/>
      <c r="E126" s="59"/>
      <c r="F126" s="13"/>
    </row>
    <row r="127" customFormat="false" ht="15" hidden="false" customHeight="false" outlineLevel="0" collapsed="false">
      <c r="B127" s="56"/>
      <c r="C127" s="23"/>
      <c r="D127" s="23"/>
      <c r="E127" s="57"/>
      <c r="F127" s="23"/>
    </row>
    <row r="128" customFormat="false" ht="15" hidden="false" customHeight="false" outlineLevel="0" collapsed="false">
      <c r="B128" s="58"/>
      <c r="C128" s="13"/>
      <c r="D128" s="13"/>
      <c r="E128" s="59"/>
      <c r="F128" s="13"/>
    </row>
    <row r="129" customFormat="false" ht="15" hidden="false" customHeight="false" outlineLevel="0" collapsed="false">
      <c r="B129" s="56"/>
      <c r="C129" s="23"/>
      <c r="D129" s="23"/>
      <c r="E129" s="57"/>
      <c r="F129" s="23"/>
    </row>
    <row r="130" customFormat="false" ht="15" hidden="false" customHeight="false" outlineLevel="0" collapsed="false">
      <c r="B130" s="58"/>
      <c r="C130" s="13"/>
      <c r="D130" s="13"/>
      <c r="E130" s="59"/>
      <c r="F130" s="13"/>
    </row>
    <row r="131" customFormat="false" ht="15" hidden="false" customHeight="false" outlineLevel="0" collapsed="false">
      <c r="B131" s="56"/>
      <c r="C131" s="23"/>
      <c r="D131" s="23"/>
      <c r="E131" s="57"/>
      <c r="F131" s="23"/>
    </row>
    <row r="132" customFormat="false" ht="15" hidden="false" customHeight="false" outlineLevel="0" collapsed="false">
      <c r="B132" s="58"/>
      <c r="C132" s="13"/>
      <c r="D132" s="13"/>
      <c r="E132" s="59"/>
      <c r="F132" s="13"/>
    </row>
    <row r="133" customFormat="false" ht="15" hidden="false" customHeight="false" outlineLevel="0" collapsed="false">
      <c r="B133" s="56"/>
      <c r="C133" s="23"/>
      <c r="D133" s="23"/>
      <c r="E133" s="57"/>
      <c r="F133" s="23"/>
    </row>
    <row r="134" customFormat="false" ht="15" hidden="false" customHeight="false" outlineLevel="0" collapsed="false">
      <c r="B134" s="58"/>
      <c r="C134" s="13"/>
      <c r="D134" s="13"/>
      <c r="E134" s="59"/>
      <c r="F134" s="13"/>
    </row>
    <row r="135" customFormat="false" ht="15" hidden="false" customHeight="false" outlineLevel="0" collapsed="false">
      <c r="B135" s="56"/>
      <c r="C135" s="23"/>
      <c r="D135" s="23"/>
      <c r="E135" s="57"/>
      <c r="F135" s="23"/>
    </row>
    <row r="136" customFormat="false" ht="15" hidden="false" customHeight="false" outlineLevel="0" collapsed="false">
      <c r="B136" s="58"/>
      <c r="C136" s="13"/>
      <c r="D136" s="13"/>
      <c r="E136" s="59"/>
      <c r="F136" s="13"/>
    </row>
    <row r="137" customFormat="false" ht="15" hidden="false" customHeight="false" outlineLevel="0" collapsed="false">
      <c r="B137" s="56"/>
      <c r="C137" s="23"/>
      <c r="D137" s="23"/>
      <c r="E137" s="57"/>
      <c r="F137" s="23"/>
    </row>
    <row r="138" customFormat="false" ht="15" hidden="false" customHeight="false" outlineLevel="0" collapsed="false">
      <c r="B138" s="58"/>
      <c r="C138" s="13"/>
      <c r="D138" s="13"/>
      <c r="E138" s="59"/>
      <c r="F138" s="13"/>
    </row>
    <row r="139" customFormat="false" ht="15" hidden="false" customHeight="false" outlineLevel="0" collapsed="false">
      <c r="B139" s="56"/>
      <c r="C139" s="23"/>
      <c r="D139" s="23"/>
      <c r="E139" s="57"/>
      <c r="F139" s="23"/>
    </row>
    <row r="140" customFormat="false" ht="15" hidden="false" customHeight="false" outlineLevel="0" collapsed="false">
      <c r="B140" s="58"/>
      <c r="C140" s="13"/>
      <c r="D140" s="13"/>
      <c r="E140" s="59"/>
      <c r="F140" s="13"/>
    </row>
    <row r="141" customFormat="false" ht="15" hidden="false" customHeight="false" outlineLevel="0" collapsed="false">
      <c r="B141" s="56"/>
      <c r="C141" s="23"/>
      <c r="D141" s="23"/>
      <c r="E141" s="57"/>
      <c r="F141" s="23"/>
    </row>
    <row r="142" customFormat="false" ht="15" hidden="false" customHeight="false" outlineLevel="0" collapsed="false">
      <c r="B142" s="58"/>
      <c r="C142" s="13"/>
      <c r="D142" s="13"/>
      <c r="E142" s="59"/>
      <c r="F142" s="13"/>
    </row>
    <row r="143" customFormat="false" ht="15" hidden="false" customHeight="false" outlineLevel="0" collapsed="false">
      <c r="B143" s="56"/>
      <c r="C143" s="23"/>
      <c r="D143" s="23"/>
      <c r="E143" s="57"/>
      <c r="F143" s="23"/>
    </row>
    <row r="144" customFormat="false" ht="15" hidden="false" customHeight="false" outlineLevel="0" collapsed="false">
      <c r="B144" s="58"/>
      <c r="C144" s="13"/>
      <c r="D144" s="13"/>
      <c r="E144" s="59"/>
      <c r="F144" s="13"/>
    </row>
  </sheetData>
  <mergeCells count="11">
    <mergeCell ref="B2:J3"/>
    <mergeCell ref="B4:J4"/>
    <mergeCell ref="B6:C6"/>
    <mergeCell ref="D6:E6"/>
    <mergeCell ref="F6:G6"/>
    <mergeCell ref="B7:C7"/>
    <mergeCell ref="D7:E7"/>
    <mergeCell ref="F7:G7"/>
    <mergeCell ref="B10:G10"/>
    <mergeCell ref="I10:J10"/>
    <mergeCell ref="B23:F23"/>
  </mergeCells>
  <conditionalFormatting sqref="F12:F14">
    <cfRule type="cellIs" priority="2" operator="lessThan" aboveAverage="0" equalAverage="0" bottom="0" percent="0" rank="0" text="" dxfId="0">
      <formula>0.8</formula>
    </cfRule>
    <cfRule type="cellIs" priority="3" operator="between" aboveAverage="0" equalAverage="0" bottom="0" percent="0" rank="0" text="" dxfId="2">
      <formula>0.8</formula>
      <formula>1</formula>
    </cfRule>
    <cfRule type="cellIs" priority="4" operator="greaterThan" aboveAverage="0" equalAverage="0" bottom="0" percent="0" rank="0" text="" dxfId="1">
      <formula>1</formula>
    </cfRule>
  </conditionalFormatting>
  <dataValidations count="2">
    <dataValidation allowBlank="true" errorStyle="stop" operator="between" showDropDown="false" showErrorMessage="false" showInputMessage="false" sqref="C25:C144" type="list">
      <formula1>"Food,Transport,College/Stationery,Fitness/Equipment,Mobile/Recharge,Entertainment,Other"</formula1>
      <formula2>0</formula2>
    </dataValidation>
    <dataValidation allowBlank="true" errorStyle="stop" operator="between" showDropDown="false" showErrorMessage="false" showInputMessage="false" sqref="F25:F144" type="list">
      <formula1>"Cash,UPI,Card,Other"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18"/>
  </cols>
  <sheetData>
    <row r="2" customFormat="false" ht="27.75" hidden="false" customHeight="true" outlineLevel="0" collapsed="false">
      <c r="B2" s="29" t="s">
        <v>125</v>
      </c>
      <c r="C2" s="29"/>
      <c r="D2" s="29"/>
      <c r="E2" s="29"/>
      <c r="F2" s="29"/>
    </row>
    <row r="4" customFormat="false" ht="39.75" hidden="false" customHeight="true" outlineLevel="0" collapsed="false">
      <c r="B4" s="60" t="s">
        <v>126</v>
      </c>
      <c r="C4" s="61" t="s">
        <v>127</v>
      </c>
      <c r="D4" s="61"/>
      <c r="E4" s="61"/>
      <c r="F4" s="61"/>
    </row>
    <row r="5" customFormat="false" ht="39.75" hidden="false" customHeight="true" outlineLevel="0" collapsed="false">
      <c r="B5" s="60" t="s">
        <v>128</v>
      </c>
      <c r="C5" s="61" t="s">
        <v>129</v>
      </c>
      <c r="D5" s="61"/>
      <c r="E5" s="61"/>
      <c r="F5" s="61"/>
    </row>
    <row r="6" customFormat="false" ht="39.75" hidden="false" customHeight="true" outlineLevel="0" collapsed="false">
      <c r="B6" s="60" t="s">
        <v>130</v>
      </c>
      <c r="C6" s="61" t="s">
        <v>131</v>
      </c>
      <c r="D6" s="61"/>
      <c r="E6" s="61"/>
      <c r="F6" s="61"/>
    </row>
    <row r="7" customFormat="false" ht="39.75" hidden="false" customHeight="true" outlineLevel="0" collapsed="false">
      <c r="B7" s="60" t="s">
        <v>132</v>
      </c>
      <c r="C7" s="61" t="s">
        <v>133</v>
      </c>
      <c r="D7" s="61"/>
      <c r="E7" s="61"/>
      <c r="F7" s="61"/>
    </row>
    <row r="8" customFormat="false" ht="39.75" hidden="false" customHeight="true" outlineLevel="0" collapsed="false">
      <c r="B8" s="60" t="s">
        <v>134</v>
      </c>
      <c r="C8" s="61" t="s">
        <v>135</v>
      </c>
      <c r="D8" s="61"/>
      <c r="E8" s="61"/>
      <c r="F8" s="61"/>
    </row>
    <row r="9" customFormat="false" ht="39.75" hidden="false" customHeight="true" outlineLevel="0" collapsed="false">
      <c r="B9" s="60" t="s">
        <v>136</v>
      </c>
      <c r="C9" s="61" t="s">
        <v>137</v>
      </c>
      <c r="D9" s="61"/>
      <c r="E9" s="61"/>
      <c r="F9" s="61"/>
    </row>
    <row r="10" customFormat="false" ht="39.75" hidden="false" customHeight="true" outlineLevel="0" collapsed="false">
      <c r="B10" s="60" t="s">
        <v>138</v>
      </c>
      <c r="C10" s="61" t="s">
        <v>139</v>
      </c>
      <c r="D10" s="61"/>
      <c r="E10" s="61"/>
      <c r="F10" s="61"/>
    </row>
  </sheetData>
  <mergeCells count="8">
    <mergeCell ref="B2:F2"/>
    <mergeCell ref="C4:F4"/>
    <mergeCell ref="C5:F5"/>
    <mergeCell ref="C6:F6"/>
    <mergeCell ref="C7:F7"/>
    <mergeCell ref="C8:F8"/>
    <mergeCell ref="C9:F9"/>
    <mergeCell ref="C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2026-10-02T02:59:02Z</dcterms:created>
  <dc:creator>openpyxl</dc:creator>
  <dc:description/>
  <dc:language>en-US</dc:language>
  <cp:lastModifiedBy/>
  <dcterms:modified xsi:type="dcterms:W3CDTF">2026-10-02T02:59:04Z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